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529B225-BB2A-46A5-8C81-E5D9C6121DB6}" xr6:coauthVersionLast="47" xr6:coauthVersionMax="47" xr10:uidLastSave="{00000000-0000-0000-0000-000000000000}"/>
  <bookViews>
    <workbookView xWindow="-120" yWindow="-120" windowWidth="20730" windowHeight="11040" xr2:uid="{01E47A76-AA38-4F73-9D7E-5DC261E2222F}"/>
  </bookViews>
  <sheets>
    <sheet name="year wise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2" r:id="rId11"/>
    <sheet name="forecast1" sheetId="13" r:id="rId12"/>
    <sheet name="Sheet2" sheetId="15" r:id="rId13"/>
    <sheet name="Sheet1" sheetId="16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  <c r="D28" i="1"/>
  <c r="E28" i="1"/>
  <c r="F28" i="1"/>
  <c r="G28" i="1"/>
  <c r="H28" i="1"/>
  <c r="I28" i="1"/>
  <c r="J28" i="1"/>
  <c r="K28" i="1"/>
  <c r="B28" i="1"/>
  <c r="C26" i="1"/>
  <c r="D26" i="1"/>
  <c r="E26" i="1"/>
  <c r="F26" i="1"/>
  <c r="G26" i="1"/>
  <c r="H26" i="1"/>
  <c r="I26" i="1"/>
  <c r="J26" i="1"/>
  <c r="K26" i="1"/>
  <c r="B26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Q8" i="1"/>
  <c r="U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N12" i="1"/>
  <c r="O12" i="1"/>
  <c r="P12" i="1"/>
  <c r="Q12" i="1"/>
  <c r="R12" i="1"/>
  <c r="S12" i="1"/>
  <c r="T12" i="1"/>
  <c r="U12" i="1"/>
  <c r="V12" i="1"/>
  <c r="W12" i="1"/>
  <c r="N13" i="1"/>
  <c r="O13" i="1"/>
  <c r="P13" i="1"/>
  <c r="Q13" i="1"/>
  <c r="R13" i="1"/>
  <c r="S13" i="1"/>
  <c r="T13" i="1"/>
  <c r="U13" i="1"/>
  <c r="V13" i="1"/>
  <c r="W13" i="1"/>
  <c r="N14" i="1"/>
  <c r="O14" i="1"/>
  <c r="P14" i="1"/>
  <c r="Q14" i="1"/>
  <c r="R14" i="1"/>
  <c r="S14" i="1"/>
  <c r="T14" i="1"/>
  <c r="U14" i="1"/>
  <c r="V14" i="1"/>
  <c r="W14" i="1"/>
  <c r="N15" i="1"/>
  <c r="O15" i="1"/>
  <c r="P15" i="1"/>
  <c r="Q15" i="1"/>
  <c r="R15" i="1"/>
  <c r="S15" i="1"/>
  <c r="T15" i="1"/>
  <c r="U15" i="1"/>
  <c r="V15" i="1"/>
  <c r="W15" i="1"/>
  <c r="N16" i="1"/>
  <c r="O16" i="1"/>
  <c r="P16" i="1"/>
  <c r="Q16" i="1"/>
  <c r="R16" i="1"/>
  <c r="S16" i="1"/>
  <c r="T16" i="1"/>
  <c r="U16" i="1"/>
  <c r="V16" i="1"/>
  <c r="W16" i="1"/>
  <c r="N18" i="1"/>
  <c r="O18" i="1"/>
  <c r="P18" i="1"/>
  <c r="Q18" i="1"/>
  <c r="R18" i="1"/>
  <c r="S18" i="1"/>
  <c r="T18" i="1"/>
  <c r="U18" i="1"/>
  <c r="V18" i="1"/>
  <c r="W18" i="1"/>
  <c r="N19" i="1"/>
  <c r="O19" i="1"/>
  <c r="P19" i="1"/>
  <c r="Q19" i="1"/>
  <c r="R19" i="1"/>
  <c r="S19" i="1"/>
  <c r="T19" i="1"/>
  <c r="U19" i="1"/>
  <c r="V19" i="1"/>
  <c r="W19" i="1"/>
  <c r="O2" i="1"/>
  <c r="P2" i="1"/>
  <c r="Q2" i="1"/>
  <c r="R2" i="1"/>
  <c r="S2" i="1"/>
  <c r="T2" i="1"/>
  <c r="U2" i="1"/>
  <c r="V2" i="1"/>
  <c r="W2" i="1"/>
  <c r="N2" i="1"/>
  <c r="C22" i="1"/>
  <c r="D22" i="1"/>
  <c r="D24" i="1" s="1"/>
  <c r="E22" i="1"/>
  <c r="E24" i="1" s="1"/>
  <c r="F22" i="1"/>
  <c r="G22" i="1"/>
  <c r="G24" i="1" s="1"/>
  <c r="H22" i="1"/>
  <c r="H24" i="1" s="1"/>
  <c r="I22" i="1"/>
  <c r="I24" i="1" s="1"/>
  <c r="J22" i="1"/>
  <c r="K22" i="1"/>
  <c r="B22" i="1"/>
  <c r="B24" i="1" s="1"/>
  <c r="I8" i="1"/>
  <c r="J101" i="13"/>
  <c r="J111" i="13"/>
  <c r="J110" i="13"/>
  <c r="J109" i="13"/>
  <c r="J108" i="13"/>
  <c r="J107" i="13"/>
  <c r="J106" i="13"/>
  <c r="J105" i="13"/>
  <c r="J104" i="13"/>
  <c r="J103" i="13"/>
  <c r="J102" i="13"/>
  <c r="P7" i="12"/>
  <c r="Q7" i="12"/>
  <c r="R7" i="12"/>
  <c r="S7" i="12"/>
  <c r="T7" i="12"/>
  <c r="U7" i="12"/>
  <c r="V7" i="12"/>
  <c r="W7" i="12"/>
  <c r="X7" i="12"/>
  <c r="Y7" i="12"/>
  <c r="Z7" i="12"/>
  <c r="O7" i="12"/>
  <c r="P7" i="10"/>
  <c r="Q7" i="10"/>
  <c r="R7" i="10"/>
  <c r="S7" i="10"/>
  <c r="T7" i="10"/>
  <c r="U7" i="10"/>
  <c r="V7" i="10"/>
  <c r="W7" i="10"/>
  <c r="X7" i="10"/>
  <c r="Y7" i="10"/>
  <c r="Z7" i="10"/>
  <c r="O7" i="10"/>
  <c r="P7" i="9"/>
  <c r="Q7" i="9"/>
  <c r="R7" i="9"/>
  <c r="S7" i="9"/>
  <c r="T7" i="9"/>
  <c r="U7" i="9"/>
  <c r="V7" i="9"/>
  <c r="W7" i="9"/>
  <c r="X7" i="9"/>
  <c r="Y7" i="9"/>
  <c r="Z7" i="9"/>
  <c r="O7" i="9"/>
  <c r="C7" i="8"/>
  <c r="D7" i="8"/>
  <c r="E7" i="8"/>
  <c r="F7" i="8"/>
  <c r="G7" i="8"/>
  <c r="H7" i="8"/>
  <c r="I7" i="8"/>
  <c r="J7" i="8"/>
  <c r="K7" i="8"/>
  <c r="L7" i="8"/>
  <c r="M7" i="8"/>
  <c r="B7" i="8"/>
  <c r="C7" i="7"/>
  <c r="D7" i="7"/>
  <c r="E7" i="7"/>
  <c r="F7" i="7"/>
  <c r="G7" i="7"/>
  <c r="H7" i="7"/>
  <c r="I7" i="7"/>
  <c r="J7" i="7"/>
  <c r="K7" i="7"/>
  <c r="L7" i="7"/>
  <c r="M7" i="7"/>
  <c r="B7" i="7"/>
  <c r="C7" i="6"/>
  <c r="D7" i="6"/>
  <c r="E7" i="6"/>
  <c r="F7" i="6"/>
  <c r="G7" i="6"/>
  <c r="H7" i="6"/>
  <c r="I7" i="6"/>
  <c r="J7" i="6"/>
  <c r="K7" i="6"/>
  <c r="L7" i="6"/>
  <c r="M7" i="6"/>
  <c r="B7" i="6"/>
  <c r="M7" i="5"/>
  <c r="C7" i="5"/>
  <c r="D7" i="5"/>
  <c r="E7" i="5"/>
  <c r="F7" i="5"/>
  <c r="G7" i="5"/>
  <c r="H7" i="5"/>
  <c r="I7" i="5"/>
  <c r="J7" i="5"/>
  <c r="K7" i="5"/>
  <c r="L7" i="5"/>
  <c r="B7" i="5"/>
  <c r="C7" i="4"/>
  <c r="D7" i="4"/>
  <c r="E7" i="4"/>
  <c r="F7" i="4"/>
  <c r="G7" i="4"/>
  <c r="H7" i="4"/>
  <c r="I7" i="4"/>
  <c r="J7" i="4"/>
  <c r="K7" i="4"/>
  <c r="L7" i="4"/>
  <c r="M7" i="4"/>
  <c r="B7" i="4"/>
  <c r="C7" i="3"/>
  <c r="D7" i="3"/>
  <c r="E7" i="3"/>
  <c r="F7" i="3"/>
  <c r="G7" i="3"/>
  <c r="H7" i="3"/>
  <c r="I7" i="3"/>
  <c r="J7" i="3"/>
  <c r="K7" i="3"/>
  <c r="L7" i="3"/>
  <c r="M7" i="3"/>
  <c r="B7" i="3"/>
  <c r="C8" i="1"/>
  <c r="O8" i="1" s="1"/>
  <c r="D8" i="1"/>
  <c r="P8" i="1" s="1"/>
  <c r="E8" i="1"/>
  <c r="F8" i="1"/>
  <c r="R8" i="1" s="1"/>
  <c r="G8" i="1"/>
  <c r="S8" i="1" s="1"/>
  <c r="H8" i="1"/>
  <c r="T8" i="1" s="1"/>
  <c r="J8" i="1"/>
  <c r="V8" i="1" s="1"/>
  <c r="K8" i="1"/>
  <c r="W8" i="1" s="1"/>
  <c r="B8" i="1"/>
  <c r="N8" i="1" s="1"/>
  <c r="X15" i="9"/>
  <c r="P2" i="9"/>
  <c r="Q2" i="9"/>
  <c r="R2" i="9"/>
  <c r="S2" i="9"/>
  <c r="T2" i="9"/>
  <c r="U2" i="9"/>
  <c r="V2" i="9"/>
  <c r="W2" i="9"/>
  <c r="X2" i="9"/>
  <c r="Y2" i="9"/>
  <c r="Z2" i="9"/>
  <c r="O3" i="9"/>
  <c r="P3" i="9"/>
  <c r="Q3" i="9"/>
  <c r="R3" i="9"/>
  <c r="S3" i="9"/>
  <c r="T3" i="9"/>
  <c r="U3" i="9"/>
  <c r="V3" i="9"/>
  <c r="W3" i="9"/>
  <c r="X3" i="9"/>
  <c r="Y3" i="9"/>
  <c r="Z3" i="9"/>
  <c r="O4" i="9"/>
  <c r="P4" i="9"/>
  <c r="Q4" i="9"/>
  <c r="R4" i="9"/>
  <c r="S4" i="9"/>
  <c r="T4" i="9"/>
  <c r="U4" i="9"/>
  <c r="V4" i="9"/>
  <c r="W4" i="9"/>
  <c r="X4" i="9"/>
  <c r="Y4" i="9"/>
  <c r="Z4" i="9"/>
  <c r="O5" i="9"/>
  <c r="P5" i="9"/>
  <c r="Q5" i="9"/>
  <c r="R5" i="9"/>
  <c r="S5" i="9"/>
  <c r="T5" i="9"/>
  <c r="U5" i="9"/>
  <c r="V5" i="9"/>
  <c r="W5" i="9"/>
  <c r="X5" i="9"/>
  <c r="Y5" i="9"/>
  <c r="Z5" i="9"/>
  <c r="O6" i="9"/>
  <c r="P6" i="9"/>
  <c r="Q6" i="9"/>
  <c r="R6" i="9"/>
  <c r="S6" i="9"/>
  <c r="T6" i="9"/>
  <c r="U6" i="9"/>
  <c r="V6" i="9"/>
  <c r="W6" i="9"/>
  <c r="X6" i="9"/>
  <c r="Y6" i="9"/>
  <c r="Z6" i="9"/>
  <c r="O8" i="9"/>
  <c r="P8" i="9"/>
  <c r="Q8" i="9"/>
  <c r="R8" i="9"/>
  <c r="S8" i="9"/>
  <c r="T8" i="9"/>
  <c r="U8" i="9"/>
  <c r="V8" i="9"/>
  <c r="W8" i="9"/>
  <c r="X8" i="9"/>
  <c r="Y8" i="9"/>
  <c r="Z8" i="9"/>
  <c r="O9" i="9"/>
  <c r="P9" i="9"/>
  <c r="Q9" i="9"/>
  <c r="R9" i="9"/>
  <c r="S9" i="9"/>
  <c r="T9" i="9"/>
  <c r="U9" i="9"/>
  <c r="V9" i="9"/>
  <c r="W9" i="9"/>
  <c r="X9" i="9"/>
  <c r="Y9" i="9"/>
  <c r="Z9" i="9"/>
  <c r="O10" i="9"/>
  <c r="P10" i="9"/>
  <c r="Q10" i="9"/>
  <c r="R10" i="9"/>
  <c r="S10" i="9"/>
  <c r="T10" i="9"/>
  <c r="U10" i="9"/>
  <c r="V10" i="9"/>
  <c r="W10" i="9"/>
  <c r="X10" i="9"/>
  <c r="Y10" i="9"/>
  <c r="Z10" i="9"/>
  <c r="O11" i="9"/>
  <c r="P11" i="9"/>
  <c r="Q11" i="9"/>
  <c r="R11" i="9"/>
  <c r="S11" i="9"/>
  <c r="T11" i="9"/>
  <c r="U11" i="9"/>
  <c r="V11" i="9"/>
  <c r="W11" i="9"/>
  <c r="X11" i="9"/>
  <c r="Y11" i="9"/>
  <c r="Z11" i="9"/>
  <c r="O12" i="9"/>
  <c r="P12" i="9"/>
  <c r="Q12" i="9"/>
  <c r="R12" i="9"/>
  <c r="S12" i="9"/>
  <c r="T12" i="9"/>
  <c r="U12" i="9"/>
  <c r="V12" i="9"/>
  <c r="W12" i="9"/>
  <c r="X12" i="9"/>
  <c r="Y12" i="9"/>
  <c r="Z12" i="9"/>
  <c r="O13" i="9"/>
  <c r="P13" i="9"/>
  <c r="Q13" i="9"/>
  <c r="R13" i="9"/>
  <c r="S13" i="9"/>
  <c r="T13" i="9"/>
  <c r="U13" i="9"/>
  <c r="V13" i="9"/>
  <c r="W13" i="9"/>
  <c r="X13" i="9"/>
  <c r="Y13" i="9"/>
  <c r="Z13" i="9"/>
  <c r="O14" i="9"/>
  <c r="P14" i="9"/>
  <c r="Q14" i="9"/>
  <c r="R14" i="9"/>
  <c r="S14" i="9"/>
  <c r="T14" i="9"/>
  <c r="U14" i="9"/>
  <c r="V14" i="9"/>
  <c r="W14" i="9"/>
  <c r="X14" i="9"/>
  <c r="Y14" i="9"/>
  <c r="Z14" i="9"/>
  <c r="O15" i="9"/>
  <c r="P15" i="9"/>
  <c r="Q15" i="9"/>
  <c r="R15" i="9"/>
  <c r="S15" i="9"/>
  <c r="T15" i="9"/>
  <c r="U15" i="9"/>
  <c r="V15" i="9"/>
  <c r="W15" i="9"/>
  <c r="Y15" i="9"/>
  <c r="Z15" i="9"/>
  <c r="O16" i="9"/>
  <c r="P16" i="9"/>
  <c r="Q16" i="9"/>
  <c r="R16" i="9"/>
  <c r="S16" i="9"/>
  <c r="T16" i="9"/>
  <c r="U16" i="9"/>
  <c r="V16" i="9"/>
  <c r="W16" i="9"/>
  <c r="X16" i="9"/>
  <c r="Y16" i="9"/>
  <c r="Z16" i="9"/>
  <c r="O17" i="9"/>
  <c r="P17" i="9"/>
  <c r="Q17" i="9"/>
  <c r="R17" i="9"/>
  <c r="S17" i="9"/>
  <c r="T17" i="9"/>
  <c r="U17" i="9"/>
  <c r="V17" i="9"/>
  <c r="W17" i="9"/>
  <c r="X17" i="9"/>
  <c r="Y17" i="9"/>
  <c r="Z17" i="9"/>
  <c r="O2" i="9"/>
  <c r="Y3" i="10"/>
  <c r="Z3" i="10"/>
  <c r="Y4" i="10"/>
  <c r="Z4" i="10"/>
  <c r="Y5" i="10"/>
  <c r="Z5" i="10"/>
  <c r="Y6" i="10"/>
  <c r="Z6" i="10"/>
  <c r="Y8" i="10"/>
  <c r="Z8" i="10"/>
  <c r="Y9" i="10"/>
  <c r="Z9" i="10"/>
  <c r="Y10" i="10"/>
  <c r="Z10" i="10"/>
  <c r="Y11" i="10"/>
  <c r="Z11" i="10"/>
  <c r="Y12" i="10"/>
  <c r="Z12" i="10"/>
  <c r="Y13" i="10"/>
  <c r="Z13" i="10"/>
  <c r="Y14" i="10"/>
  <c r="Z14" i="10"/>
  <c r="Y15" i="10"/>
  <c r="Z15" i="10"/>
  <c r="Y16" i="10"/>
  <c r="Z16" i="10"/>
  <c r="Y17" i="10"/>
  <c r="Z17" i="10"/>
  <c r="Z2" i="10"/>
  <c r="O3" i="10"/>
  <c r="P3" i="10"/>
  <c r="Q3" i="10"/>
  <c r="R3" i="10"/>
  <c r="S3" i="10"/>
  <c r="T3" i="10"/>
  <c r="U3" i="10"/>
  <c r="V3" i="10"/>
  <c r="W3" i="10"/>
  <c r="X3" i="10"/>
  <c r="O4" i="10"/>
  <c r="P4" i="10"/>
  <c r="Q4" i="10"/>
  <c r="R4" i="10"/>
  <c r="S4" i="10"/>
  <c r="T4" i="10"/>
  <c r="U4" i="10"/>
  <c r="V4" i="10"/>
  <c r="W4" i="10"/>
  <c r="X4" i="10"/>
  <c r="O5" i="10"/>
  <c r="P5" i="10"/>
  <c r="Q5" i="10"/>
  <c r="R5" i="10"/>
  <c r="S5" i="10"/>
  <c r="T5" i="10"/>
  <c r="U5" i="10"/>
  <c r="V5" i="10"/>
  <c r="W5" i="10"/>
  <c r="X5" i="10"/>
  <c r="O6" i="10"/>
  <c r="P6" i="10"/>
  <c r="Q6" i="10"/>
  <c r="R6" i="10"/>
  <c r="S6" i="10"/>
  <c r="T6" i="10"/>
  <c r="U6" i="10"/>
  <c r="V6" i="10"/>
  <c r="W6" i="10"/>
  <c r="X6" i="10"/>
  <c r="O8" i="10"/>
  <c r="P8" i="10"/>
  <c r="Q8" i="10"/>
  <c r="R8" i="10"/>
  <c r="S8" i="10"/>
  <c r="T8" i="10"/>
  <c r="U8" i="10"/>
  <c r="V8" i="10"/>
  <c r="W8" i="10"/>
  <c r="X8" i="10"/>
  <c r="O9" i="10"/>
  <c r="P9" i="10"/>
  <c r="Q9" i="10"/>
  <c r="R9" i="10"/>
  <c r="S9" i="10"/>
  <c r="T9" i="10"/>
  <c r="U9" i="10"/>
  <c r="V9" i="10"/>
  <c r="W9" i="10"/>
  <c r="X9" i="10"/>
  <c r="O10" i="10"/>
  <c r="P10" i="10"/>
  <c r="Q10" i="10"/>
  <c r="R10" i="10"/>
  <c r="S10" i="10"/>
  <c r="T10" i="10"/>
  <c r="U10" i="10"/>
  <c r="V10" i="10"/>
  <c r="W10" i="10"/>
  <c r="X10" i="10"/>
  <c r="O11" i="10"/>
  <c r="P11" i="10"/>
  <c r="Q11" i="10"/>
  <c r="R11" i="10"/>
  <c r="S11" i="10"/>
  <c r="T11" i="10"/>
  <c r="U11" i="10"/>
  <c r="V11" i="10"/>
  <c r="W11" i="10"/>
  <c r="X11" i="10"/>
  <c r="O12" i="10"/>
  <c r="P12" i="10"/>
  <c r="Q12" i="10"/>
  <c r="R12" i="10"/>
  <c r="S12" i="10"/>
  <c r="T12" i="10"/>
  <c r="U12" i="10"/>
  <c r="V12" i="10"/>
  <c r="W12" i="10"/>
  <c r="X12" i="10"/>
  <c r="O13" i="10"/>
  <c r="P13" i="10"/>
  <c r="Q13" i="10"/>
  <c r="R13" i="10"/>
  <c r="S13" i="10"/>
  <c r="T13" i="10"/>
  <c r="U13" i="10"/>
  <c r="V13" i="10"/>
  <c r="W13" i="10"/>
  <c r="X13" i="10"/>
  <c r="O14" i="10"/>
  <c r="P14" i="10"/>
  <c r="Q14" i="10"/>
  <c r="R14" i="10"/>
  <c r="S14" i="10"/>
  <c r="T14" i="10"/>
  <c r="U14" i="10"/>
  <c r="V14" i="10"/>
  <c r="W14" i="10"/>
  <c r="X14" i="10"/>
  <c r="O15" i="10"/>
  <c r="P15" i="10"/>
  <c r="Q15" i="10"/>
  <c r="R15" i="10"/>
  <c r="S15" i="10"/>
  <c r="T15" i="10"/>
  <c r="U15" i="10"/>
  <c r="V15" i="10"/>
  <c r="W15" i="10"/>
  <c r="X15" i="10"/>
  <c r="O16" i="10"/>
  <c r="P16" i="10"/>
  <c r="Q16" i="10"/>
  <c r="R16" i="10"/>
  <c r="S16" i="10"/>
  <c r="T16" i="10"/>
  <c r="U16" i="10"/>
  <c r="V16" i="10"/>
  <c r="W16" i="10"/>
  <c r="X16" i="10"/>
  <c r="O17" i="10"/>
  <c r="P17" i="10"/>
  <c r="Q17" i="10"/>
  <c r="R17" i="10"/>
  <c r="S17" i="10"/>
  <c r="T17" i="10"/>
  <c r="U17" i="10"/>
  <c r="V17" i="10"/>
  <c r="W17" i="10"/>
  <c r="X17" i="10"/>
  <c r="P2" i="10"/>
  <c r="Q2" i="10"/>
  <c r="R2" i="10"/>
  <c r="S2" i="10"/>
  <c r="T2" i="10"/>
  <c r="U2" i="10"/>
  <c r="V2" i="10"/>
  <c r="W2" i="10"/>
  <c r="X2" i="10"/>
  <c r="Y2" i="10"/>
  <c r="O2" i="10"/>
  <c r="P2" i="12"/>
  <c r="Q2" i="12"/>
  <c r="R2" i="12"/>
  <c r="S2" i="12"/>
  <c r="T2" i="12"/>
  <c r="U2" i="12"/>
  <c r="V2" i="12"/>
  <c r="W2" i="12"/>
  <c r="X2" i="12"/>
  <c r="Y2" i="12"/>
  <c r="Z2" i="12"/>
  <c r="Q3" i="12"/>
  <c r="R3" i="12"/>
  <c r="S3" i="12"/>
  <c r="T3" i="12"/>
  <c r="U3" i="12"/>
  <c r="V3" i="12"/>
  <c r="W3" i="12"/>
  <c r="X3" i="12"/>
  <c r="Y3" i="12"/>
  <c r="Z3" i="12"/>
  <c r="Q4" i="12"/>
  <c r="R4" i="12"/>
  <c r="S4" i="12"/>
  <c r="T4" i="12"/>
  <c r="U4" i="12"/>
  <c r="V4" i="12"/>
  <c r="W4" i="12"/>
  <c r="X4" i="12"/>
  <c r="Y4" i="12"/>
  <c r="Z4" i="12"/>
  <c r="Q5" i="12"/>
  <c r="R5" i="12"/>
  <c r="S5" i="12"/>
  <c r="T5" i="12"/>
  <c r="U5" i="12"/>
  <c r="V5" i="12"/>
  <c r="W5" i="12"/>
  <c r="X5" i="12"/>
  <c r="Y5" i="12"/>
  <c r="Z5" i="12"/>
  <c r="Q6" i="12"/>
  <c r="R6" i="12"/>
  <c r="S6" i="12"/>
  <c r="T6" i="12"/>
  <c r="U6" i="12"/>
  <c r="V6" i="12"/>
  <c r="W6" i="12"/>
  <c r="X6" i="12"/>
  <c r="Y6" i="12"/>
  <c r="Z6" i="12"/>
  <c r="Q8" i="12"/>
  <c r="R8" i="12"/>
  <c r="S8" i="12"/>
  <c r="T8" i="12"/>
  <c r="U8" i="12"/>
  <c r="V8" i="12"/>
  <c r="W8" i="12"/>
  <c r="X8" i="12"/>
  <c r="Y8" i="12"/>
  <c r="Z8" i="12"/>
  <c r="Q9" i="12"/>
  <c r="R9" i="12"/>
  <c r="S9" i="12"/>
  <c r="T9" i="12"/>
  <c r="U9" i="12"/>
  <c r="V9" i="12"/>
  <c r="W9" i="12"/>
  <c r="X9" i="12"/>
  <c r="Y9" i="12"/>
  <c r="Z9" i="12"/>
  <c r="Q10" i="12"/>
  <c r="R10" i="12"/>
  <c r="S10" i="12"/>
  <c r="T10" i="12"/>
  <c r="U10" i="12"/>
  <c r="V10" i="12"/>
  <c r="W10" i="12"/>
  <c r="X10" i="12"/>
  <c r="Y10" i="12"/>
  <c r="Z10" i="12"/>
  <c r="Q11" i="12"/>
  <c r="R11" i="12"/>
  <c r="S11" i="12"/>
  <c r="T11" i="12"/>
  <c r="U11" i="12"/>
  <c r="V11" i="12"/>
  <c r="W11" i="12"/>
  <c r="X11" i="12"/>
  <c r="Y11" i="12"/>
  <c r="Z11" i="12"/>
  <c r="Q12" i="12"/>
  <c r="R12" i="12"/>
  <c r="S12" i="12"/>
  <c r="T12" i="12"/>
  <c r="U12" i="12"/>
  <c r="V12" i="12"/>
  <c r="W12" i="12"/>
  <c r="X12" i="12"/>
  <c r="Y12" i="12"/>
  <c r="Z12" i="12"/>
  <c r="Q13" i="12"/>
  <c r="R13" i="12"/>
  <c r="S13" i="12"/>
  <c r="T13" i="12"/>
  <c r="U13" i="12"/>
  <c r="V13" i="12"/>
  <c r="W13" i="12"/>
  <c r="X13" i="12"/>
  <c r="Y13" i="12"/>
  <c r="Z13" i="12"/>
  <c r="Q14" i="12"/>
  <c r="R14" i="12"/>
  <c r="S14" i="12"/>
  <c r="T14" i="12"/>
  <c r="U14" i="12"/>
  <c r="V14" i="12"/>
  <c r="W14" i="12"/>
  <c r="X14" i="12"/>
  <c r="Y14" i="12"/>
  <c r="Z14" i="12"/>
  <c r="Q15" i="12"/>
  <c r="R15" i="12"/>
  <c r="S15" i="12"/>
  <c r="T15" i="12"/>
  <c r="U15" i="12"/>
  <c r="V15" i="12"/>
  <c r="W15" i="12"/>
  <c r="X15" i="12"/>
  <c r="Y15" i="12"/>
  <c r="Z15" i="12"/>
  <c r="Q16" i="12"/>
  <c r="R16" i="12"/>
  <c r="S16" i="12"/>
  <c r="T16" i="12"/>
  <c r="U16" i="12"/>
  <c r="V16" i="12"/>
  <c r="W16" i="12"/>
  <c r="X16" i="12"/>
  <c r="Y16" i="12"/>
  <c r="Z16" i="12"/>
  <c r="Q17" i="12"/>
  <c r="R17" i="12"/>
  <c r="S17" i="12"/>
  <c r="T17" i="12"/>
  <c r="U17" i="12"/>
  <c r="V17" i="12"/>
  <c r="W17" i="12"/>
  <c r="X17" i="12"/>
  <c r="Y17" i="12"/>
  <c r="Z17" i="12"/>
  <c r="P3" i="12"/>
  <c r="P4" i="12"/>
  <c r="P5" i="12"/>
  <c r="P6" i="12"/>
  <c r="P8" i="12"/>
  <c r="P9" i="12"/>
  <c r="P10" i="12"/>
  <c r="P11" i="12"/>
  <c r="P12" i="12"/>
  <c r="P13" i="12"/>
  <c r="P14" i="12"/>
  <c r="P15" i="12"/>
  <c r="P16" i="12"/>
  <c r="P17" i="12"/>
  <c r="O3" i="12"/>
  <c r="O4" i="12"/>
  <c r="O5" i="12"/>
  <c r="O6" i="12"/>
  <c r="O8" i="12"/>
  <c r="O9" i="12"/>
  <c r="O10" i="12"/>
  <c r="O11" i="12"/>
  <c r="O12" i="12"/>
  <c r="O13" i="12"/>
  <c r="O14" i="12"/>
  <c r="O15" i="12"/>
  <c r="O16" i="12"/>
  <c r="O17" i="12"/>
  <c r="O2" i="12"/>
  <c r="F24" i="1" l="1"/>
  <c r="K24" i="1"/>
  <c r="C24" i="1"/>
  <c r="J24" i="1"/>
</calcChain>
</file>

<file path=xl/sharedStrings.xml><?xml version="1.0" encoding="utf-8"?>
<sst xmlns="http://schemas.openxmlformats.org/spreadsheetml/2006/main" count="820" uniqueCount="203">
  <si>
    <t>1 Currency with the Public (1.1 + 1.2 + 1.3 – 1.4)</t>
  </si>
  <si>
    <t>1.1 Notes in Circulation</t>
  </si>
  <si>
    <t>1.2 Circulation of Rupee Coin</t>
  </si>
  <si>
    <t>1.3 Circulation of Small Coins</t>
  </si>
  <si>
    <t>1.4 Cash on Hand with Banks</t>
  </si>
  <si>
    <t>2 Deposit Money of the Public</t>
  </si>
  <si>
    <t>2.1 Demand Deposits with Banks</t>
  </si>
  <si>
    <t>2.2 'Other' Deposits with Reserve Bank</t>
  </si>
  <si>
    <t>3 M1 (1 + 2)</t>
  </si>
  <si>
    <t>4 Post Office Saving Bank Deposits</t>
  </si>
  <si>
    <t>5 M2 (3 + 4)</t>
  </si>
  <si>
    <t>6 Time Deposits with Banks</t>
  </si>
  <si>
    <t>7 M3 (3 + 6)</t>
  </si>
  <si>
    <t>8 Total Post Office Deposits</t>
  </si>
  <si>
    <t>9 M4 (7 + 8)</t>
  </si>
  <si>
    <t>item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</si>
  <si>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</si>
  <si>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</si>
  <si>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</si>
  <si>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</si>
  <si>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</si>
  <si>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</si>
  <si>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</si>
  <si>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</si>
  <si>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</si>
  <si>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</si>
  <si>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 xml:space="preserve">nov </t>
  </si>
  <si>
    <t>dec</t>
  </si>
  <si>
    <t>1.1.2016</t>
  </si>
  <si>
    <t>1.2.2016</t>
  </si>
  <si>
    <t>1.3.2016</t>
  </si>
  <si>
    <t>1.4.2016</t>
  </si>
  <si>
    <t>1.5.2016</t>
  </si>
  <si>
    <t>1.6.2016</t>
  </si>
  <si>
    <t>1.7.2016</t>
  </si>
  <si>
    <t>1.8.2016</t>
  </si>
  <si>
    <t>1.9.2016</t>
  </si>
  <si>
    <t>1.10.2016</t>
  </si>
  <si>
    <t>1.11.2016</t>
  </si>
  <si>
    <t>1.12.2016</t>
  </si>
  <si>
    <t>1.1.2024</t>
  </si>
  <si>
    <t>1.2.2024</t>
  </si>
  <si>
    <t>1.3.2024</t>
  </si>
  <si>
    <t>1.4.2024</t>
  </si>
  <si>
    <t>1.5.2024</t>
  </si>
  <si>
    <t>1.6.2024</t>
  </si>
  <si>
    <t>1.7.2024</t>
  </si>
  <si>
    <t>1.8.2024</t>
  </si>
  <si>
    <t>1.9.2024</t>
  </si>
  <si>
    <t>1.10.2024</t>
  </si>
  <si>
    <t>1.11.2024</t>
  </si>
  <si>
    <t>1.12.2024</t>
  </si>
  <si>
    <t>1.1.2023</t>
  </si>
  <si>
    <t>1.2.2023</t>
  </si>
  <si>
    <t>1.3.2023</t>
  </si>
  <si>
    <t>1.4.2023</t>
  </si>
  <si>
    <t>1.5.2023</t>
  </si>
  <si>
    <t>1.6.2023</t>
  </si>
  <si>
    <t>1.7.2023</t>
  </si>
  <si>
    <t>1.8.2023</t>
  </si>
  <si>
    <t>1.9.2023</t>
  </si>
  <si>
    <t>1.10.2023</t>
  </si>
  <si>
    <t>1.11.2023</t>
  </si>
  <si>
    <t>1.12.2023</t>
  </si>
  <si>
    <t>1.1.2022</t>
  </si>
  <si>
    <t>1.2.2022</t>
  </si>
  <si>
    <t>1.3.2022</t>
  </si>
  <si>
    <t>1.4.2022</t>
  </si>
  <si>
    <t>1.5.2022</t>
  </si>
  <si>
    <t>1.6.201622</t>
  </si>
  <si>
    <t>1.7.2022</t>
  </si>
  <si>
    <t>1.8.2022</t>
  </si>
  <si>
    <t>1.9.2022</t>
  </si>
  <si>
    <t>1.10.2022</t>
  </si>
  <si>
    <t>1.11.2022</t>
  </si>
  <si>
    <t>1.12.2022</t>
  </si>
  <si>
    <t>1.1.2021</t>
  </si>
  <si>
    <t>1.2.2021</t>
  </si>
  <si>
    <t>1.3.2021</t>
  </si>
  <si>
    <t>1.4.2021</t>
  </si>
  <si>
    <t>1.5.2021</t>
  </si>
  <si>
    <t>1.6.2021</t>
  </si>
  <si>
    <t>1.7.2021</t>
  </si>
  <si>
    <t>1.8.2021</t>
  </si>
  <si>
    <t>1.9.2021</t>
  </si>
  <si>
    <t>1.10.2021</t>
  </si>
  <si>
    <t>1.11.2021</t>
  </si>
  <si>
    <t>1.12.2021</t>
  </si>
  <si>
    <t>1.1.2020</t>
  </si>
  <si>
    <t>1.2.2020</t>
  </si>
  <si>
    <t>1.3.2020</t>
  </si>
  <si>
    <t>1.4.2020</t>
  </si>
  <si>
    <t>1.5.2020</t>
  </si>
  <si>
    <t>1.6.2020</t>
  </si>
  <si>
    <t>1.7.2020</t>
  </si>
  <si>
    <t>1.8.2020</t>
  </si>
  <si>
    <t>1.9.2020</t>
  </si>
  <si>
    <t>1.10.2020</t>
  </si>
  <si>
    <t>1.11.2020</t>
  </si>
  <si>
    <t>1.12.2020</t>
  </si>
  <si>
    <t>1.1.2019</t>
  </si>
  <si>
    <t>1.2.2019</t>
  </si>
  <si>
    <t>1.3.2019</t>
  </si>
  <si>
    <t>1.4.2019</t>
  </si>
  <si>
    <t>1.5.2019</t>
  </si>
  <si>
    <t>1.6.2019</t>
  </si>
  <si>
    <t>1.7.2019</t>
  </si>
  <si>
    <t>1.8.2019</t>
  </si>
  <si>
    <t>1.9.2019</t>
  </si>
  <si>
    <t>1.10.2019</t>
  </si>
  <si>
    <t>1.11.2019</t>
  </si>
  <si>
    <t>1.12.2019</t>
  </si>
  <si>
    <t>1.1.2018</t>
  </si>
  <si>
    <t>1.2.2018</t>
  </si>
  <si>
    <t>1.3.2018</t>
  </si>
  <si>
    <t>1.4.2018</t>
  </si>
  <si>
    <t>1.5.2017</t>
  </si>
  <si>
    <t>1.5.2018</t>
  </si>
  <si>
    <t>1.6.2018</t>
  </si>
  <si>
    <t>1.7.2018</t>
  </si>
  <si>
    <t>1.8.2018</t>
  </si>
  <si>
    <t>1.9.2018</t>
  </si>
  <si>
    <t>1.10.2018</t>
  </si>
  <si>
    <t>1.11.2018</t>
  </si>
  <si>
    <t>1.12.2018</t>
  </si>
  <si>
    <t>1.1.2017</t>
  </si>
  <si>
    <t>1.2.2017</t>
  </si>
  <si>
    <t>1.3.2017</t>
  </si>
  <si>
    <t>1.4.2017</t>
  </si>
  <si>
    <t>1.6.2017</t>
  </si>
  <si>
    <t>1.7.2017</t>
  </si>
  <si>
    <t>1.8.2017</t>
  </si>
  <si>
    <t>1.9.2017</t>
  </si>
  <si>
    <t>1.10.2017</t>
  </si>
  <si>
    <t>1.11.2017</t>
  </si>
  <si>
    <t>1.12.2017</t>
  </si>
  <si>
    <t>dates</t>
  </si>
  <si>
    <t>1.6.2022</t>
  </si>
  <si>
    <t>M3</t>
  </si>
  <si>
    <t>date</t>
  </si>
  <si>
    <t>actual</t>
  </si>
  <si>
    <t>forecasted</t>
  </si>
  <si>
    <t>m3 actual</t>
  </si>
  <si>
    <t>Forecasted Value</t>
  </si>
  <si>
    <t>Reserve Money</t>
  </si>
  <si>
    <t>Reserve money</t>
  </si>
  <si>
    <t>DATES</t>
  </si>
  <si>
    <t>Date</t>
  </si>
  <si>
    <t>Forecasted Fig</t>
  </si>
  <si>
    <t>total bank deposit</t>
  </si>
  <si>
    <t>Public Trust</t>
  </si>
  <si>
    <t>standard m3</t>
  </si>
  <si>
    <t>standard cp</t>
  </si>
  <si>
    <t>Baseline SVAR Forecast</t>
  </si>
  <si>
    <t>Final Simulated Forecast (w/ Expert Parameters)</t>
  </si>
  <si>
    <t>Simulated Commentary</t>
  </si>
  <si>
    <t>Pre-Covid Baseline</t>
  </si>
  <si>
    <t>Model on track.</t>
  </si>
  <si>
    <t>Volatility within expected bounds.</t>
  </si>
  <si>
    <t>...</t>
  </si>
  <si>
    <t>Pandemic Shock</t>
  </si>
  <si>
    <r>
      <t>Expert Override:</t>
    </r>
    <r>
      <rPr>
        <sz val="11"/>
        <color rgb="FFF8FAFF"/>
        <rFont val="Segoe UI"/>
        <family val="2"/>
      </rPr>
      <t> Model sees mild stimulus; we adjust for massive, anticipated easing.</t>
    </r>
  </si>
  <si>
    <t>Liquidity injection larger than model's historical precedent.</t>
  </si>
  <si>
    <t>Forecast peak of stimulus higher than pure model's trend.</t>
  </si>
  <si>
    <t>Stimulus Plateau</t>
  </si>
  <si>
    <r>
      <t>Expert Override:</t>
    </r>
    <r>
      <rPr>
        <sz val="11"/>
        <color rgb="FFF8FAFF"/>
        <rFont val="Segoe UI"/>
        <family val="2"/>
      </rPr>
      <t> Model expects tightening; we maintain elevated levels based on policy guidance.</t>
    </r>
  </si>
  <si>
    <t>Model is signaling overheating risk. We incorporate its warning.</t>
  </si>
  <si>
    <t>Inflation Fight -&gt; Black Swan</t>
  </si>
  <si>
    <r>
      <t>Inflation Shock Introduced:</t>
    </r>
    <r>
      <rPr>
        <sz val="11"/>
        <color rgb="FFF8FAFF"/>
        <rFont val="Segoe UI"/>
        <family val="2"/>
      </rPr>
      <t> SVAR now projecting rate hikes. M3 growth stalls.</t>
    </r>
  </si>
  <si>
    <t>Tightening cycle now fully priced in. QT begins.</t>
  </si>
  <si>
    <r>
      <t>BLACK SWAN (OCT 2022):</t>
    </r>
    <r>
      <rPr>
        <sz val="11"/>
        <color rgb="FFF8FAFF"/>
        <rFont val="Segoe UI"/>
        <family val="2"/>
      </rPr>
      <t> Negative IIP shock + negative Policy Rate shock injected.</t>
    </r>
  </si>
  <si>
    <t>SVAR simulates the chaotic policy response: crisis liquidity overwhelms tightening.</t>
  </si>
  <si>
    <t>Forecast volatility increases, reflecting market uncertainty.</t>
  </si>
  <si>
    <t>The Stagflationary Hangover</t>
  </si>
  <si>
    <t>New, higher plateau for M3 established due to crisis liquidity overhang.</t>
  </si>
  <si>
    <t>Growth is minimal, consistent with financial repression and weak credit demand.</t>
  </si>
  <si>
    <t>Long, slow adjustment continues.</t>
  </si>
  <si>
    <t>Cautious Normalization</t>
  </si>
  <si>
    <t>With financial system stable, a very gradual normalization of balance sheet policy begins.</t>
  </si>
  <si>
    <t>$3,567,550,000,000</t>
  </si>
  <si>
    <t>$3,215,970,000,000</t>
  </si>
  <si>
    <t>$2,236</t>
  </si>
  <si>
    <t>$3,353,470,000,000</t>
  </si>
  <si>
    <t>$2,973,540,000,000</t>
  </si>
  <si>
    <t>$2,086</t>
  </si>
  <si>
    <t>$3,167,270,000,000</t>
  </si>
  <si>
    <t>$2,779,350,000,000</t>
  </si>
  <si>
    <t>$1,965</t>
  </si>
  <si>
    <t>$2,674,850,000,000</t>
  </si>
  <si>
    <t>$2,533,830,000,000</t>
  </si>
  <si>
    <t>−5.78%</t>
  </si>
  <si>
    <t>$1,807</t>
  </si>
  <si>
    <t>$2,835,610,000,000</t>
  </si>
  <si>
    <t>$2,689,210,000,000</t>
  </si>
  <si>
    <t>$1,936</t>
  </si>
  <si>
    <t>$2,702,930,000,000</t>
  </si>
  <si>
    <t>$2,588,970,000,000</t>
  </si>
  <si>
    <t>$1,883</t>
  </si>
  <si>
    <t>$2,651,470,000,000</t>
  </si>
  <si>
    <t>$2,432,020,000,000</t>
  </si>
  <si>
    <t>$1,789</t>
  </si>
  <si>
    <t>Money Multiplier</t>
  </si>
  <si>
    <t>Currency deposit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</si>
</sst>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_ ;_ * \(###0\)_ ;_ * &quot;-&quot;_ ;_ @_ "/>
    <numFmt numFmtId="165" formatCode="0_);\(0\)"/>
    <numFmt numFmtId="166" formatCode="&quot;₹&quot;\ #,##0;\ \(###0\)"/>
    <numFmt numFmtId="167" formatCode="_ * #,##0.00_ ;_ * \(###000\)__\ ;_ * &quot;-&quot;??_ ;_ @_ "/>
    <numFmt numFmtId="168" formatCode="_ * #,##0.00_ ;_ * \(###0\)_ ;_ * &quot;-&quot;??_ ;_ @_ "/>
    <numFmt numFmtId="169" formatCode="_ * #,##0.00_ ;_ * \(###000\)_ ;_ * &quot;-&quot;??_ ;_ @_ "/>
    <numFmt numFmtId="170" formatCode="_ * #,##0.00_ ;_ * \(###000\)"/>
    <numFmt numFmtId="171" formatCode="#,##0.0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Segoe UI"/>
      <family val="2"/>
    </font>
    <font>
      <sz val="11"/>
      <color rgb="FFF5F5F5"/>
      <name val="Segoe UI"/>
      <family val="2"/>
    </font>
    <font>
      <sz val="11"/>
      <color rgb="FFF8FAFF"/>
      <name val="Segoe UI"/>
      <family val="2"/>
    </font>
    <font>
      <sz val="11"/>
      <color rgb="FFF8FAFF"/>
      <name val="Segoe UI"/>
      <family val="2"/>
    </font>
    <font>
      <sz val="11"/>
      <color rgb="FFF5F5F5"/>
      <name val="Segoe UI"/>
      <family val="2"/>
    </font>
    <font>
      <sz val="11"/>
      <color rgb="FFF8FAFF"/>
      <name val="Segoe U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92A2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525252"/>
      </bottom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166" fontId="2" fillId="2" borderId="1" xfId="0" applyNumberFormat="1" applyFont="1" applyFill="1" applyBorder="1" applyAlignment="1">
      <alignment horizontal="right" vertical="center" wrapText="1"/>
    </xf>
    <xf numFmtId="167" fontId="2" fillId="2" borderId="1" xfId="0" applyNumberFormat="1" applyFont="1" applyFill="1" applyBorder="1" applyAlignment="1">
      <alignment horizontal="right" vertical="center" wrapText="1"/>
    </xf>
    <xf numFmtId="168" fontId="2" fillId="2" borderId="1" xfId="0" applyNumberFormat="1" applyFont="1" applyFill="1" applyBorder="1" applyAlignment="1">
      <alignment horizontal="right" vertical="center" wrapText="1"/>
    </xf>
    <xf numFmtId="169" fontId="2" fillId="2" borderId="1" xfId="0" applyNumberFormat="1" applyFont="1" applyFill="1" applyBorder="1" applyAlignment="1">
      <alignment horizontal="right" vertical="center" wrapText="1"/>
    </xf>
    <xf numFmtId="170" fontId="2" fillId="3" borderId="1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170" fontId="2" fillId="2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171" fontId="2" fillId="2" borderId="1" xfId="0" applyNumberFormat="1" applyFont="1" applyFill="1" applyBorder="1" applyAlignment="1">
      <alignment horizontal="right" vertical="center" wrapText="1"/>
    </xf>
    <xf numFmtId="171" fontId="2" fillId="0" borderId="1" xfId="0" applyNumberFormat="1" applyFont="1" applyBorder="1" applyAlignment="1">
      <alignment horizontal="right" vertical="center" wrapText="1"/>
    </xf>
    <xf numFmtId="171" fontId="3" fillId="2" borderId="1" xfId="0" applyNumberFormat="1" applyFont="1" applyFill="1" applyBorder="1" applyAlignment="1">
      <alignment horizontal="right" vertical="center" wrapText="1"/>
    </xf>
    <xf numFmtId="171" fontId="2" fillId="4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5" fillId="2" borderId="0" xfId="0" applyFont="1" applyFill="1"/>
    <xf numFmtId="3" fontId="6" fillId="2" borderId="2" xfId="0" applyNumberFormat="1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3" fontId="6" fillId="2" borderId="0" xfId="0" applyNumberFormat="1" applyFont="1" applyFill="1" applyAlignment="1">
      <alignment horizontal="left" vertical="center" wrapText="1" indent="1"/>
    </xf>
    <xf numFmtId="0" fontId="7" fillId="5" borderId="3" xfId="0" applyFont="1" applyFill="1" applyBorder="1" applyAlignment="1">
      <alignment horizontal="left" vertical="center" wrapText="1" indent="1"/>
    </xf>
    <xf numFmtId="0" fontId="8" fillId="5" borderId="2" xfId="0" applyFont="1" applyFill="1" applyBorder="1" applyAlignment="1">
      <alignment horizontal="left" vertical="center" wrapText="1" indent="1"/>
    </xf>
    <xf numFmtId="3" fontId="8" fillId="5" borderId="2" xfId="0" applyNumberFormat="1" applyFont="1" applyFill="1" applyBorder="1" applyAlignment="1">
      <alignment horizontal="left" vertical="center" wrapText="1" indent="1"/>
    </xf>
    <xf numFmtId="0" fontId="9" fillId="5" borderId="2" xfId="0" applyFont="1" applyFill="1" applyBorder="1" applyAlignment="1">
      <alignment horizontal="left" vertical="center" wrapText="1" indent="1"/>
    </xf>
    <xf numFmtId="3" fontId="9" fillId="5" borderId="2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0" fillId="5" borderId="0" xfId="0" applyFill="1"/>
    <xf numFmtId="0" fontId="10" fillId="5" borderId="3" xfId="0" applyFont="1" applyFill="1" applyBorder="1" applyAlignment="1">
      <alignment horizontal="left" vertical="center" wrapText="1" indent="1"/>
    </xf>
    <xf numFmtId="0" fontId="11" fillId="5" borderId="2" xfId="0" applyFont="1" applyFill="1" applyBorder="1" applyAlignment="1">
      <alignment horizontal="left" vertical="center" wrapText="1" indent="1"/>
    </xf>
    <xf numFmtId="0" fontId="12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10" fontId="13" fillId="0" borderId="4" xfId="0" applyNumberFormat="1" applyFont="1" applyBorder="1" applyAlignment="1">
      <alignment vertical="center" wrapText="1" readingOrder="1"/>
    </xf>
    <xf numFmtId="10" fontId="12" fillId="0" borderId="4" xfId="0" applyNumberFormat="1" applyFont="1" applyBorder="1" applyAlignment="1">
      <alignment vertical="center" wrapText="1" readingOrder="1"/>
    </xf>
    <xf numFmtId="3" fontId="13" fillId="0" borderId="4" xfId="0" applyNumberFormat="1" applyFont="1" applyBorder="1" applyAlignment="1">
      <alignment vertical="center" wrapText="1" readingOrder="1"/>
    </xf>
    <xf numFmtId="0" fontId="13" fillId="0" borderId="4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Currency with the Public (Yearly)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'year wise'!$A$2</c:f>
              <c:strCache>
                <c:ptCount val="1"/>
                <c:pt idx="0">
                  <c:v>1 Currency with the Public (1.1 + 1.2 + 1.3 – 1.4)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wise'!$B$2:$K$2</c:f>
              <c:numCache>
                <c:formatCode>General</c:formatCode>
                <c:ptCount val="10"/>
                <c:pt idx="0">
                  <c:v>3630751</c:v>
                </c:pt>
                <c:pt idx="1">
                  <c:v>3410276</c:v>
                </c:pt>
                <c:pt idx="2">
                  <c:v>3276436</c:v>
                </c:pt>
                <c:pt idx="3">
                  <c:v>3035689</c:v>
                </c:pt>
                <c:pt idx="4">
                  <c:v>2751828</c:v>
                </c:pt>
                <c:pt idx="5">
                  <c:v>2349748</c:v>
                </c:pt>
                <c:pt idx="6">
                  <c:v>2052209</c:v>
                </c:pt>
                <c:pt idx="7">
                  <c:v>1759710</c:v>
                </c:pt>
                <c:pt idx="8">
                  <c:v>1264120</c:v>
                </c:pt>
                <c:pt idx="9">
                  <c:v>1597250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D-4129-B08F-FFC3D1918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383334112"/>
        <c:axId val="383327872"/>
      </c:lineChart>
      <c:catAx>
        <c:axId val="38333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27872"/>
        <c:crosses val="autoZero"/>
        <c:auto val="1"/>
        <c:lblAlgn val="ctr"/>
        <c:lblOffset val="100"/>
        <c:noMultiLvlLbl val="0"/>
      </c:catAx>
      <c:valAx>
        <c:axId val="3833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3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M3 (Yearly)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'year wise'!$A$16</c:f>
              <c:strCache>
                <c:ptCount val="1"/>
                <c:pt idx="0">
                  <c:v>7 M3 (3 + 6)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wise'!$B$16:$K$16</c:f>
              <c:numCache>
                <c:formatCode>General</c:formatCode>
                <c:ptCount val="10"/>
                <c:pt idx="0">
                  <c:v>27227143</c:v>
                </c:pt>
                <c:pt idx="1">
                  <c:v>24831618</c:v>
                </c:pt>
                <c:pt idx="2">
                  <c:v>22343760</c:v>
                </c:pt>
                <c:pt idx="3">
                  <c:v>20493729</c:v>
                </c:pt>
                <c:pt idx="4">
                  <c:v>18844578</c:v>
                </c:pt>
                <c:pt idx="5">
                  <c:v>16799963</c:v>
                </c:pt>
                <c:pt idx="6">
                  <c:v>15432067</c:v>
                </c:pt>
                <c:pt idx="7">
                  <c:v>13962590</c:v>
                </c:pt>
                <c:pt idx="8">
                  <c:v>12791940</c:v>
                </c:pt>
                <c:pt idx="9">
                  <c:v>11617620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8-40E4-AD44-611E11702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821402959"/>
        <c:axId val="821401999"/>
        <c:axId val="820511407"/>
      </c:bar3DChart>
      <c:catAx>
        <c:axId val="82140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401999"/>
        <c:crosses val="autoZero"/>
        <c:auto val="1"/>
        <c:lblAlgn val="ctr"/>
        <c:lblOffset val="100"/>
        <c:noMultiLvlLbl val="0"/>
      </c:catAx>
      <c:valAx>
        <c:axId val="82140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402959"/>
        <c:crosses val="autoZero"/>
        <c:crossBetween val="between"/>
      </c:valAx>
      <c:serAx>
        <c:axId val="820511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4019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Reserve Money (Yearly)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'year wise'!$A$8</c:f>
              <c:strCache>
                <c:ptCount val="1"/>
                <c:pt idx="0">
                  <c:v>Reserve Money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wise'!$B$8:$K$8</c:f>
              <c:numCache>
                <c:formatCode>General</c:formatCode>
                <c:ptCount val="10"/>
                <c:pt idx="0">
                  <c:v>3817127</c:v>
                </c:pt>
                <c:pt idx="1">
                  <c:v>3612412</c:v>
                </c:pt>
                <c:pt idx="2">
                  <c:v>3480589</c:v>
                </c:pt>
                <c:pt idx="3">
                  <c:v>3231744</c:v>
                </c:pt>
                <c:pt idx="4">
                  <c:v>2955699</c:v>
                </c:pt>
                <c:pt idx="5">
                  <c:v>2544875</c:v>
                </c:pt>
                <c:pt idx="6">
                  <c:v>2221331</c:v>
                </c:pt>
                <c:pt idx="7">
                  <c:v>1898990</c:v>
                </c:pt>
                <c:pt idx="8">
                  <c:v>1406400</c:v>
                </c:pt>
                <c:pt idx="9">
                  <c:v>1729670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F-4B0B-869F-37A9071AF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85425888"/>
        <c:axId val="1285423488"/>
        <c:axId val="897613744"/>
      </c:bar3DChart>
      <c:catAx>
        <c:axId val="128542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23488"/>
        <c:crosses val="autoZero"/>
        <c:auto val="1"/>
        <c:lblAlgn val="ctr"/>
        <c:lblOffset val="100"/>
        <c:noMultiLvlLbl val="0"/>
      </c:catAx>
      <c:valAx>
        <c:axId val="12854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25888"/>
        <c:crosses val="autoZero"/>
        <c:crossBetween val="between"/>
      </c:valAx>
      <c:serAx>
        <c:axId val="897613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2348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Narrow</a:t>
            </a:r>
            <a:r>
              <a:rPr lang="en-IN" baseline="0"/>
              <a:t> and Broad Money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'year wise'!$A$12</c:f>
              <c:strCache>
                <c:ptCount val="1"/>
                <c:pt idx="0">
                  <c:v>3 M1 (1 + 2)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wise'!$B$12:$K$12</c:f>
              <c:numCache>
                <c:formatCode>General</c:formatCode>
                <c:ptCount val="10"/>
                <c:pt idx="0">
                  <c:v>6584081</c:v>
                </c:pt>
                <c:pt idx="1">
                  <c:v>6091700</c:v>
                </c:pt>
                <c:pt idx="2">
                  <c:v>5674795</c:v>
                </c:pt>
                <c:pt idx="3">
                  <c:v>5307125</c:v>
                </c:pt>
                <c:pt idx="4">
                  <c:v>4794299</c:v>
                </c:pt>
                <c:pt idx="5">
                  <c:v>4125948</c:v>
                </c:pt>
                <c:pt idx="6">
                  <c:v>3710464</c:v>
                </c:pt>
                <c:pt idx="7">
                  <c:v>3267330</c:v>
                </c:pt>
                <c:pt idx="8">
                  <c:v>2681960</c:v>
                </c:pt>
                <c:pt idx="9">
                  <c:v>2602540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B-41DF-A9FC-1AD30A31F052}"/>
            </c:ext>
          </c:extLst>
        </c:ser>
        <c:ser>
          <c:idx val="1"/>
          <c:order val="1"/>
          <c:tx>
            <c:strRef>
              <c:f>'year wise'!$A$16</c:f>
              <c:strCache>
                <c:ptCount val="1"/>
                <c:pt idx="0">
                  <c:v>7 M3 (3 + 6)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wise'!$B$16:$K$16</c:f>
              <c:numCache>
                <c:formatCode>General</c:formatCode>
                <c:ptCount val="10"/>
                <c:pt idx="0">
                  <c:v>27227143</c:v>
                </c:pt>
                <c:pt idx="1">
                  <c:v>24831618</c:v>
                </c:pt>
                <c:pt idx="2">
                  <c:v>22343760</c:v>
                </c:pt>
                <c:pt idx="3">
                  <c:v>20493729</c:v>
                </c:pt>
                <c:pt idx="4">
                  <c:v>18844578</c:v>
                </c:pt>
                <c:pt idx="5">
                  <c:v>16799963</c:v>
                </c:pt>
                <c:pt idx="6">
                  <c:v>15432067</c:v>
                </c:pt>
                <c:pt idx="7">
                  <c:v>13962590</c:v>
                </c:pt>
                <c:pt idx="8">
                  <c:v>12791940</c:v>
                </c:pt>
                <c:pt idx="9">
                  <c:v>11617620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B-41DF-A9FC-1AD30A31F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5194191"/>
        <c:axId val="1445180271"/>
      </c:barChart>
      <c:catAx>
        <c:axId val="144519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80271"/>
        <c:crosses val="autoZero"/>
        <c:auto val="1"/>
        <c:lblAlgn val="ctr"/>
        <c:lblOffset val="100"/>
        <c:noMultiLvlLbl val="0"/>
      </c:catAx>
      <c:valAx>
        <c:axId val="144518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Growth</a:t>
            </a:r>
            <a:r>
              <a:rPr lang="en-IN" baseline="0"/>
              <a:t> in currency, demand deposit and time deposit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'year wise'!$A$2</c:f>
              <c:strCache>
                <c:ptCount val="1"/>
                <c:pt idx="0">
                  <c:v>1 Currency with the Public (1.1 + 1.2 + 1.3 – 1.4)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wise'!$B$2:$K$2</c:f>
              <c:numCache>
                <c:formatCode>General</c:formatCode>
                <c:ptCount val="10"/>
                <c:pt idx="0">
                  <c:v>3630751</c:v>
                </c:pt>
                <c:pt idx="1">
                  <c:v>3410276</c:v>
                </c:pt>
                <c:pt idx="2">
                  <c:v>3276436</c:v>
                </c:pt>
                <c:pt idx="3">
                  <c:v>3035689</c:v>
                </c:pt>
                <c:pt idx="4">
                  <c:v>2751828</c:v>
                </c:pt>
                <c:pt idx="5">
                  <c:v>2349748</c:v>
                </c:pt>
                <c:pt idx="6">
                  <c:v>2052209</c:v>
                </c:pt>
                <c:pt idx="7">
                  <c:v>1759710</c:v>
                </c:pt>
                <c:pt idx="8">
                  <c:v>1264120</c:v>
                </c:pt>
                <c:pt idx="9">
                  <c:v>1597250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8-4885-9C51-66A5AD6973A4}"/>
            </c:ext>
          </c:extLst>
        </c:ser>
        <c:ser>
          <c:idx val="1"/>
          <c:order val="1"/>
          <c:tx>
            <c:strRef>
              <c:f>'year wise'!$A$10</c:f>
              <c:strCache>
                <c:ptCount val="1"/>
                <c:pt idx="0">
                  <c:v>2.1 Demand Deposits with Banks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wise'!$B$10:$K$10</c:f>
              <c:numCache>
                <c:formatCode>General</c:formatCode>
                <c:ptCount val="10"/>
                <c:pt idx="0">
                  <c:v>2840023</c:v>
                </c:pt>
                <c:pt idx="1">
                  <c:v>2586888</c:v>
                </c:pt>
                <c:pt idx="2">
                  <c:v>2320598</c:v>
                </c:pt>
                <c:pt idx="3">
                  <c:v>2212992</c:v>
                </c:pt>
                <c:pt idx="4">
                  <c:v>1995120</c:v>
                </c:pt>
                <c:pt idx="5">
                  <c:v>1737692</c:v>
                </c:pt>
                <c:pt idx="6">
                  <c:v>1626512</c:v>
                </c:pt>
                <c:pt idx="7">
                  <c:v>1483710</c:v>
                </c:pt>
                <c:pt idx="8">
                  <c:v>1396740</c:v>
                </c:pt>
                <c:pt idx="9">
                  <c:v>989830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8-4885-9C51-66A5AD6973A4}"/>
            </c:ext>
          </c:extLst>
        </c:ser>
        <c:ser>
          <c:idx val="2"/>
          <c:order val="2"/>
          <c:tx>
            <c:strRef>
              <c:f>'year wise'!$A$15</c:f>
              <c:strCache>
                <c:ptCount val="1"/>
                <c:pt idx="0">
                  <c:v>6 Time Deposits with Banks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wise'!$B$15:$K$15</c:f>
              <c:numCache>
                <c:formatCode>General</c:formatCode>
                <c:ptCount val="10"/>
                <c:pt idx="0">
                  <c:v>20643062</c:v>
                </c:pt>
                <c:pt idx="1">
                  <c:v>18739918</c:v>
                </c:pt>
                <c:pt idx="2">
                  <c:v>16668966</c:v>
                </c:pt>
                <c:pt idx="3">
                  <c:v>15186605</c:v>
                </c:pt>
                <c:pt idx="4">
                  <c:v>14050278</c:v>
                </c:pt>
                <c:pt idx="5">
                  <c:v>12674016</c:v>
                </c:pt>
                <c:pt idx="6">
                  <c:v>11721603</c:v>
                </c:pt>
                <c:pt idx="7">
                  <c:v>10695260</c:v>
                </c:pt>
                <c:pt idx="8">
                  <c:v>10109980</c:v>
                </c:pt>
                <c:pt idx="9">
                  <c:v>9015080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8-4885-9C51-66A5AD697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7924639"/>
        <c:axId val="1547930399"/>
      </c:barChart>
      <c:catAx>
        <c:axId val="154792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30399"/>
        <c:crosses val="autoZero"/>
        <c:auto val="1"/>
        <c:lblAlgn val="ctr"/>
        <c:lblOffset val="100"/>
        <c:noMultiLvlLbl val="0"/>
      </c:catAx>
      <c:valAx>
        <c:axId val="154793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2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M3</a:t>
            </a:r>
            <a:r>
              <a:rPr lang="en-IN" baseline="0"/>
              <a:t> against standard value</a:t>
            </a:r>
          </a:p>
        </c:rich>
      </c:tx>
      <c:layout>
        <c:manualLayout>
          <c:xMode val="edge"/>
          <c:yMode val="edge"/>
          <c:x val="0.403937445319335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 wise'!$M$16</c:f>
              <c:strCache>
                <c:ptCount val="1"/>
                <c:pt idx="0">
                  <c:v>7 M3 (3 + 6)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'year wise'!$N$16:$V$16</c:f>
              <c:numCache>
                <c:formatCode>General</c:formatCode>
                <c:ptCount val="9"/>
                <c:pt idx="0">
                  <c:v>9.6470757564005694E-2</c:v>
                </c:pt>
                <c:pt idx="1">
                  <c:v>0.11134464387372582</c:v>
                </c:pt>
                <c:pt idx="2">
                  <c:v>9.0273029374009967E-2</c:v>
                </c:pt>
                <c:pt idx="3">
                  <c:v>8.7513288968317574E-2</c:v>
                </c:pt>
                <c:pt idx="4">
                  <c:v>0.12170354184708621</c:v>
                </c:pt>
                <c:pt idx="5">
                  <c:v>8.8639843256253362E-2</c:v>
                </c:pt>
                <c:pt idx="6">
                  <c:v>0.10524386951131559</c:v>
                </c:pt>
                <c:pt idx="7">
                  <c:v>9.1514656885507598E-2</c:v>
                </c:pt>
                <c:pt idx="8">
                  <c:v>0.10108094428979429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1-4881-B539-A60FEFCECA44}"/>
            </c:ext>
          </c:extLst>
        </c:ser>
        <c:ser>
          <c:idx val="1"/>
          <c:order val="1"/>
          <c:tx>
            <c:strRef>
              <c:f>'year wise'!$M$17</c:f>
              <c:strCache>
                <c:ptCount val="1"/>
                <c:pt idx="0">
                  <c:v>standard 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'year wise'!$N$17:$V$17</c:f>
              <c:numCache>
                <c:formatCode>General</c:formatCode>
                <c:ptCount val="9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1-4881-B539-A60FEFCEC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899679"/>
        <c:axId val="1547903999"/>
      </c:lineChart>
      <c:catAx>
        <c:axId val="154789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03999"/>
        <c:crosses val="autoZero"/>
        <c:auto val="1"/>
        <c:lblAlgn val="ctr"/>
        <c:lblOffset val="100"/>
        <c:noMultiLvlLbl val="0"/>
      </c:catAx>
      <c:valAx>
        <c:axId val="15479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9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Currency with public against standard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'year wise'!$M$2</c:f>
              <c:strCache>
                <c:ptCount val="1"/>
                <c:pt idx="0">
                  <c:v>1 Currency with the Public (1.1 + 1.2 + 1.3 – 1.4)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'year wise'!$N$2:$V$2</c:f>
              <c:numCache>
                <c:formatCode>General</c:formatCode>
                <c:ptCount val="9"/>
                <c:pt idx="0">
                  <c:v>6.4650192535736117E-2</c:v>
                </c:pt>
                <c:pt idx="1">
                  <c:v>4.0849264261532958E-2</c:v>
                </c:pt>
                <c:pt idx="2">
                  <c:v>7.9305554686267266E-2</c:v>
                </c:pt>
                <c:pt idx="3">
                  <c:v>0.10315361279847432</c:v>
                </c:pt>
                <c:pt idx="4">
                  <c:v>0.1711162218246382</c:v>
                </c:pt>
                <c:pt idx="5">
                  <c:v>0.14498474570572489</c:v>
                </c:pt>
                <c:pt idx="6">
                  <c:v>0.16622000215944674</c:v>
                </c:pt>
                <c:pt idx="7">
                  <c:v>0.39204347688510582</c:v>
                </c:pt>
                <c:pt idx="8">
                  <c:v>-0.20856472061355455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4-4BD3-B46B-E24049FE7A76}"/>
            </c:ext>
          </c:extLst>
        </c:ser>
        <c:ser>
          <c:idx val="1"/>
          <c:order val="1"/>
          <c:tx>
            <c:strRef>
              <c:f>'year wise'!$M$3</c:f>
              <c:strCache>
                <c:ptCount val="1"/>
                <c:pt idx="0">
                  <c:v>standard cp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'year wise'!$N$3:$V$3</c:f>
              <c:numCache>
                <c:formatCode>General</c:formatCode>
                <c:ptCount val="9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4-4BD3-B46B-E24049FE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5186031"/>
        <c:axId val="1445183631"/>
      </c:barChart>
      <c:catAx>
        <c:axId val="144518603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83631"/>
        <c:crosses val="autoZero"/>
        <c:auto val="1"/>
        <c:lblAlgn val="ctr"/>
        <c:lblOffset val="100"/>
        <c:noMultiLvlLbl val="0"/>
      </c:catAx>
      <c:valAx>
        <c:axId val="144518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8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'year wise'!$A$26</c:f>
              <c:strCache>
                <c:ptCount val="1"/>
                <c:pt idx="0">
                  <c:v>Money Multiplier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wise'!$B$26:$K$26</c:f>
              <c:numCache>
                <c:formatCode>General</c:formatCode>
                <c:ptCount val="10"/>
                <c:pt idx="0">
                  <c:v>7.1328889502497557</c:v>
                </c:pt>
                <c:pt idx="1">
                  <c:v>6.8739717396576028</c:v>
                </c:pt>
                <c:pt idx="2">
                  <c:v>6.4195341650508002</c:v>
                </c:pt>
                <c:pt idx="3">
                  <c:v>6.3413837853493344</c:v>
                </c:pt>
                <c:pt idx="4">
                  <c:v>6.3756756016089593</c:v>
                </c:pt>
                <c:pt idx="5">
                  <c:v>6.6014884817525417</c:v>
                </c:pt>
                <c:pt idx="6">
                  <c:v>6.9472163311095914</c:v>
                </c:pt>
                <c:pt idx="7">
                  <c:v>7.3526400876255273</c:v>
                </c:pt>
                <c:pt idx="8">
                  <c:v>9.0955204778157004</c:v>
                </c:pt>
                <c:pt idx="9">
                  <c:v>6.7166684974590529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C-48E0-A042-6C2EB9E60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373551"/>
        <c:axId val="691372591"/>
      </c:radarChart>
      <c:catAx>
        <c:axId val="69137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72591"/>
        <c:crosses val="autoZero"/>
        <c:auto val="1"/>
        <c:lblAlgn val="ctr"/>
        <c:lblOffset val="100"/>
        <c:noMultiLvlLbl val="0"/>
      </c:catAx>
      <c:valAx>
        <c:axId val="6913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7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'year wise'!$A$28</c:f>
              <c:strCache>
                <c:ptCount val="1"/>
                <c:pt idx="0">
                  <c:v>Currency deposit ratio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'year wise'!$B$1:$K$1</c:f>
              <c:numCache>
                <c:formatCode>General</c:formatCode>
                <c:ptCount val="10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</c:numCache>
            </c:numRef>
          </c:cat>
          <c:val>
            <c:numRef>
              <c:f>'year wise'!$B$28:$K$28</c:f>
              <c:numCache>
                <c:formatCode>General</c:formatCode>
                <c:ptCount val="10"/>
                <c:pt idx="0">
                  <c:v>0.15461132981463041</c:v>
                </c:pt>
                <c:pt idx="1">
                  <c:v>0.15990561362071751</c:v>
                </c:pt>
                <c:pt idx="2">
                  <c:v>0.17253876918922414</c:v>
                </c:pt>
                <c:pt idx="3">
                  <c:v>0.17446892591822671</c:v>
                </c:pt>
                <c:pt idx="4">
                  <c:v>0.17150263271749319</c:v>
                </c:pt>
                <c:pt idx="5">
                  <c:v>0.16304438030523516</c:v>
                </c:pt>
                <c:pt idx="6">
                  <c:v>0.15374522919528338</c:v>
                </c:pt>
                <c:pt idx="7">
                  <c:v>0.14448758803084333</c:v>
                </c:pt>
                <c:pt idx="8">
                  <c:v>0.10985928222812409</c:v>
                </c:pt>
                <c:pt idx="9">
                  <c:v>0.15964661351276524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E-49FC-8C45-56BFD724B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91391791"/>
        <c:axId val="691375471"/>
      </c:lineChart>
      <c:catAx>
        <c:axId val="69139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75471"/>
        <c:crosses val="autoZero"/>
        <c:auto val="1"/>
        <c:lblAlgn val="ctr"/>
        <c:lblOffset val="100"/>
        <c:noMultiLvlLbl val="0"/>
      </c:catAx>
      <c:valAx>
        <c:axId val="69137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9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Currency</a:t>
            </a:r>
            <a:r>
              <a:rPr lang="en-IN" baseline="0"/>
              <a:t> with public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forecast1!$B$39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strRef>
              <c:f>forecast1!$A$40:$A$111</c:f>
              <c:strCache>
                <c:ptCount val="72"/>
                <c:pt idx="0">
                  <c:v>1.1.2019</c:v>
                </c:pt>
                <c:pt idx="1">
                  <c:v>1.2.2019</c:v>
                </c:pt>
                <c:pt idx="2">
                  <c:v>1.3.2019</c:v>
                </c:pt>
                <c:pt idx="3">
                  <c:v>1.4.2019</c:v>
                </c:pt>
                <c:pt idx="4">
                  <c:v>1.5.2019</c:v>
                </c:pt>
                <c:pt idx="5">
                  <c:v>1.6.2019</c:v>
                </c:pt>
                <c:pt idx="6">
                  <c:v>1.7.2019</c:v>
                </c:pt>
                <c:pt idx="7">
                  <c:v>1.8.2019</c:v>
                </c:pt>
                <c:pt idx="8">
                  <c:v>1.9.2019</c:v>
                </c:pt>
                <c:pt idx="9">
                  <c:v>1.10.2019</c:v>
                </c:pt>
                <c:pt idx="10">
                  <c:v>1.11.2019</c:v>
                </c:pt>
                <c:pt idx="11">
                  <c:v>1.12.2019</c:v>
                </c:pt>
                <c:pt idx="12">
                  <c:v>1.1.2020</c:v>
                </c:pt>
                <c:pt idx="13">
                  <c:v>1.2.2020</c:v>
                </c:pt>
                <c:pt idx="14">
                  <c:v>1.3.2020</c:v>
                </c:pt>
                <c:pt idx="15">
                  <c:v>1.4.2020</c:v>
                </c:pt>
                <c:pt idx="16">
                  <c:v>1.5.2020</c:v>
                </c:pt>
                <c:pt idx="17">
                  <c:v>1.6.2020</c:v>
                </c:pt>
                <c:pt idx="18">
                  <c:v>1.7.2020</c:v>
                </c:pt>
                <c:pt idx="19">
                  <c:v>1.8.2020</c:v>
                </c:pt>
                <c:pt idx="20">
                  <c:v>1.9.2020</c:v>
                </c:pt>
                <c:pt idx="21">
                  <c:v>1.10.2020</c:v>
                </c:pt>
                <c:pt idx="22">
                  <c:v>1.11.2020</c:v>
                </c:pt>
                <c:pt idx="23">
                  <c:v>1.12.2020</c:v>
                </c:pt>
                <c:pt idx="24">
                  <c:v>1.1.2021</c:v>
                </c:pt>
                <c:pt idx="25">
                  <c:v>1.2.2021</c:v>
                </c:pt>
                <c:pt idx="26">
                  <c:v>1.3.2021</c:v>
                </c:pt>
                <c:pt idx="27">
                  <c:v>1.4.2021</c:v>
                </c:pt>
                <c:pt idx="28">
                  <c:v>1.5.2021</c:v>
                </c:pt>
                <c:pt idx="29">
                  <c:v>1.6.2021</c:v>
                </c:pt>
                <c:pt idx="30">
                  <c:v>1.7.2021</c:v>
                </c:pt>
                <c:pt idx="31">
                  <c:v>1.8.2021</c:v>
                </c:pt>
                <c:pt idx="32">
                  <c:v>1.9.2021</c:v>
                </c:pt>
                <c:pt idx="33">
                  <c:v>1.10.2021</c:v>
                </c:pt>
                <c:pt idx="34">
                  <c:v>1.11.2021</c:v>
                </c:pt>
                <c:pt idx="35">
                  <c:v>1.12.2021</c:v>
                </c:pt>
                <c:pt idx="36">
                  <c:v>1.1.2022</c:v>
                </c:pt>
                <c:pt idx="37">
                  <c:v>1.2.2022</c:v>
                </c:pt>
                <c:pt idx="38">
                  <c:v>1.3.2022</c:v>
                </c:pt>
                <c:pt idx="39">
                  <c:v>1.4.2022</c:v>
                </c:pt>
                <c:pt idx="40">
                  <c:v>1.5.2022</c:v>
                </c:pt>
                <c:pt idx="41">
                  <c:v>1.6.2022</c:v>
                </c:pt>
                <c:pt idx="42">
                  <c:v>1.7.2022</c:v>
                </c:pt>
                <c:pt idx="43">
                  <c:v>1.8.2022</c:v>
                </c:pt>
                <c:pt idx="44">
                  <c:v>1.9.2022</c:v>
                </c:pt>
                <c:pt idx="45">
                  <c:v>1.10.2022</c:v>
                </c:pt>
                <c:pt idx="46">
                  <c:v>1.11.2022</c:v>
                </c:pt>
                <c:pt idx="47">
                  <c:v>1.12.2022</c:v>
                </c:pt>
                <c:pt idx="48">
                  <c:v>1.1.2023</c:v>
                </c:pt>
                <c:pt idx="49">
                  <c:v>1.2.2023</c:v>
                </c:pt>
                <c:pt idx="50">
                  <c:v>1.3.2023</c:v>
                </c:pt>
                <c:pt idx="51">
                  <c:v>1.4.2023</c:v>
                </c:pt>
                <c:pt idx="52">
                  <c:v>1.5.2023</c:v>
                </c:pt>
                <c:pt idx="53">
                  <c:v>1.6.2023</c:v>
                </c:pt>
                <c:pt idx="54">
                  <c:v>1.7.2023</c:v>
                </c:pt>
                <c:pt idx="55">
                  <c:v>1.8.2023</c:v>
                </c:pt>
                <c:pt idx="56">
                  <c:v>1.9.2023</c:v>
                </c:pt>
                <c:pt idx="57">
                  <c:v>1.10.2023</c:v>
                </c:pt>
                <c:pt idx="58">
                  <c:v>1.11.2023</c:v>
                </c:pt>
                <c:pt idx="59">
                  <c:v>1.12.2023</c:v>
                </c:pt>
                <c:pt idx="60">
                  <c:v>1.1.2024</c:v>
                </c:pt>
                <c:pt idx="61">
                  <c:v>1.2.2024</c:v>
                </c:pt>
                <c:pt idx="62">
                  <c:v>1.3.2024</c:v>
                </c:pt>
                <c:pt idx="63">
                  <c:v>1.4.2024</c:v>
                </c:pt>
                <c:pt idx="64">
                  <c:v>1.5.2024</c:v>
                </c:pt>
                <c:pt idx="65">
                  <c:v>1.6.2024</c:v>
                </c:pt>
                <c:pt idx="66">
                  <c:v>1.7.2024</c:v>
                </c:pt>
                <c:pt idx="67">
                  <c:v>1.8.2024</c:v>
                </c:pt>
                <c:pt idx="68">
                  <c:v>1.9.2024</c:v>
                </c:pt>
                <c:pt idx="69">
                  <c:v>1.10.2024</c:v>
                </c:pt>
                <c:pt idx="70">
                  <c:v>1.11.2024</c:v>
                </c:pt>
                <c:pt idx="71">
                  <c:v>1.12.2024</c:v>
                </c:pt>
              </c:strCache>
            </c:strRef>
          </c:cat>
          <c:val>
            <c:numRef>
              <c:f>forecast1!$B$40:$B$111</c:f>
              <c:numCache>
                <c:formatCode>General</c:formatCode>
                <c:ptCount val="72"/>
                <c:pt idx="0">
                  <c:v>1986735</c:v>
                </c:pt>
                <c:pt idx="1">
                  <c:v>2255426</c:v>
                </c:pt>
                <c:pt idx="2">
                  <c:v>2055044</c:v>
                </c:pt>
                <c:pt idx="3">
                  <c:v>2092067</c:v>
                </c:pt>
                <c:pt idx="4">
                  <c:v>2117366</c:v>
                </c:pt>
                <c:pt idx="5">
                  <c:v>2116677</c:v>
                </c:pt>
                <c:pt idx="6">
                  <c:v>2098705</c:v>
                </c:pt>
                <c:pt idx="7">
                  <c:v>2082634</c:v>
                </c:pt>
                <c:pt idx="8">
                  <c:v>2089198</c:v>
                </c:pt>
                <c:pt idx="9">
                  <c:v>2161881</c:v>
                </c:pt>
                <c:pt idx="10">
                  <c:v>2172488</c:v>
                </c:pt>
                <c:pt idx="11">
                  <c:v>2180601</c:v>
                </c:pt>
                <c:pt idx="12">
                  <c:v>2218775</c:v>
                </c:pt>
                <c:pt idx="13">
                  <c:v>2255426</c:v>
                </c:pt>
                <c:pt idx="14">
                  <c:v>2341744</c:v>
                </c:pt>
                <c:pt idx="15">
                  <c:v>2424621</c:v>
                </c:pt>
                <c:pt idx="16">
                  <c:v>2512742</c:v>
                </c:pt>
                <c:pt idx="17">
                  <c:v>2567008</c:v>
                </c:pt>
                <c:pt idx="18">
                  <c:v>2576293</c:v>
                </c:pt>
                <c:pt idx="19">
                  <c:v>2583111</c:v>
                </c:pt>
                <c:pt idx="20">
                  <c:v>2585212</c:v>
                </c:pt>
                <c:pt idx="21">
                  <c:v>2619578</c:v>
                </c:pt>
                <c:pt idx="22">
                  <c:v>2673534</c:v>
                </c:pt>
                <c:pt idx="23">
                  <c:v>2681512</c:v>
                </c:pt>
                <c:pt idx="24">
                  <c:v>3169720</c:v>
                </c:pt>
                <c:pt idx="25">
                  <c:v>3222737</c:v>
                </c:pt>
                <c:pt idx="26">
                  <c:v>3278334</c:v>
                </c:pt>
                <c:pt idx="27">
                  <c:v>3346486</c:v>
                </c:pt>
                <c:pt idx="28">
                  <c:v>3371391</c:v>
                </c:pt>
                <c:pt idx="29">
                  <c:v>3446055</c:v>
                </c:pt>
                <c:pt idx="30">
                  <c:v>3426089</c:v>
                </c:pt>
                <c:pt idx="31">
                  <c:v>3205302</c:v>
                </c:pt>
                <c:pt idx="32">
                  <c:v>3195976</c:v>
                </c:pt>
                <c:pt idx="33">
                  <c:v>3201682</c:v>
                </c:pt>
                <c:pt idx="34">
                  <c:v>3254799</c:v>
                </c:pt>
                <c:pt idx="35">
                  <c:v>3255680</c:v>
                </c:pt>
                <c:pt idx="36">
                  <c:v>2707213</c:v>
                </c:pt>
                <c:pt idx="37">
                  <c:v>2735085</c:v>
                </c:pt>
                <c:pt idx="38">
                  <c:v>2756705</c:v>
                </c:pt>
                <c:pt idx="39">
                  <c:v>2802804</c:v>
                </c:pt>
                <c:pt idx="40">
                  <c:v>2861264</c:v>
                </c:pt>
                <c:pt idx="41">
                  <c:v>2887260</c:v>
                </c:pt>
                <c:pt idx="42">
                  <c:v>2839134</c:v>
                </c:pt>
                <c:pt idx="43">
                  <c:v>2830825</c:v>
                </c:pt>
                <c:pt idx="44">
                  <c:v>2815017</c:v>
                </c:pt>
                <c:pt idx="45">
                  <c:v>2825698</c:v>
                </c:pt>
                <c:pt idx="46">
                  <c:v>2878246</c:v>
                </c:pt>
                <c:pt idx="47">
                  <c:v>2881115</c:v>
                </c:pt>
                <c:pt idx="48">
                  <c:v>2931921</c:v>
                </c:pt>
                <c:pt idx="49">
                  <c:v>2980565</c:v>
                </c:pt>
                <c:pt idx="50">
                  <c:v>3037622</c:v>
                </c:pt>
                <c:pt idx="51">
                  <c:v>3093159</c:v>
                </c:pt>
                <c:pt idx="52">
                  <c:v>3117960</c:v>
                </c:pt>
                <c:pt idx="53">
                  <c:v>3104151</c:v>
                </c:pt>
                <c:pt idx="54">
                  <c:v>3063746</c:v>
                </c:pt>
                <c:pt idx="55">
                  <c:v>3062479</c:v>
                </c:pt>
                <c:pt idx="56">
                  <c:v>3044594</c:v>
                </c:pt>
                <c:pt idx="57">
                  <c:v>3088753</c:v>
                </c:pt>
                <c:pt idx="58">
                  <c:v>3093618</c:v>
                </c:pt>
                <c:pt idx="59">
                  <c:v>3255680</c:v>
                </c:pt>
                <c:pt idx="60">
                  <c:v>3323263</c:v>
                </c:pt>
                <c:pt idx="61">
                  <c:v>3361633</c:v>
                </c:pt>
                <c:pt idx="62">
                  <c:v>3418888</c:v>
                </c:pt>
                <c:pt idx="63">
                  <c:v>3454255</c:v>
                </c:pt>
                <c:pt idx="64">
                  <c:v>3468476</c:v>
                </c:pt>
                <c:pt idx="65">
                  <c:v>3445861</c:v>
                </c:pt>
                <c:pt idx="66">
                  <c:v>3426089</c:v>
                </c:pt>
                <c:pt idx="67">
                  <c:v>3404741</c:v>
                </c:pt>
                <c:pt idx="68">
                  <c:v>3392284</c:v>
                </c:pt>
                <c:pt idx="69">
                  <c:v>3415233</c:v>
                </c:pt>
                <c:pt idx="70">
                  <c:v>3444217</c:v>
                </c:pt>
                <c:pt idx="71">
                  <c:v>3459977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2-4B44-A1F8-F97FD2FCFE3D}"/>
            </c:ext>
          </c:extLst>
        </c:ser>
        <c:ser>
          <c:idx val="1"/>
          <c:order val="1"/>
          <c:tx>
            <c:strRef>
              <c:f>forecast1!$C$39</c:f>
              <c:strCache>
                <c:ptCount val="1"/>
                <c:pt idx="0">
                  <c:v>forecasted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strRef>
              <c:f>forecast1!$A$40:$A$111</c:f>
              <c:strCache>
                <c:ptCount val="72"/>
                <c:pt idx="0">
                  <c:v>1.1.2019</c:v>
                </c:pt>
                <c:pt idx="1">
                  <c:v>1.2.2019</c:v>
                </c:pt>
                <c:pt idx="2">
                  <c:v>1.3.2019</c:v>
                </c:pt>
                <c:pt idx="3">
                  <c:v>1.4.2019</c:v>
                </c:pt>
                <c:pt idx="4">
                  <c:v>1.5.2019</c:v>
                </c:pt>
                <c:pt idx="5">
                  <c:v>1.6.2019</c:v>
                </c:pt>
                <c:pt idx="6">
                  <c:v>1.7.2019</c:v>
                </c:pt>
                <c:pt idx="7">
                  <c:v>1.8.2019</c:v>
                </c:pt>
                <c:pt idx="8">
                  <c:v>1.9.2019</c:v>
                </c:pt>
                <c:pt idx="9">
                  <c:v>1.10.2019</c:v>
                </c:pt>
                <c:pt idx="10">
                  <c:v>1.11.2019</c:v>
                </c:pt>
                <c:pt idx="11">
                  <c:v>1.12.2019</c:v>
                </c:pt>
                <c:pt idx="12">
                  <c:v>1.1.2020</c:v>
                </c:pt>
                <c:pt idx="13">
                  <c:v>1.2.2020</c:v>
                </c:pt>
                <c:pt idx="14">
                  <c:v>1.3.2020</c:v>
                </c:pt>
                <c:pt idx="15">
                  <c:v>1.4.2020</c:v>
                </c:pt>
                <c:pt idx="16">
                  <c:v>1.5.2020</c:v>
                </c:pt>
                <c:pt idx="17">
                  <c:v>1.6.2020</c:v>
                </c:pt>
                <c:pt idx="18">
                  <c:v>1.7.2020</c:v>
                </c:pt>
                <c:pt idx="19">
                  <c:v>1.8.2020</c:v>
                </c:pt>
                <c:pt idx="20">
                  <c:v>1.9.2020</c:v>
                </c:pt>
                <c:pt idx="21">
                  <c:v>1.10.2020</c:v>
                </c:pt>
                <c:pt idx="22">
                  <c:v>1.11.2020</c:v>
                </c:pt>
                <c:pt idx="23">
                  <c:v>1.12.2020</c:v>
                </c:pt>
                <c:pt idx="24">
                  <c:v>1.1.2021</c:v>
                </c:pt>
                <c:pt idx="25">
                  <c:v>1.2.2021</c:v>
                </c:pt>
                <c:pt idx="26">
                  <c:v>1.3.2021</c:v>
                </c:pt>
                <c:pt idx="27">
                  <c:v>1.4.2021</c:v>
                </c:pt>
                <c:pt idx="28">
                  <c:v>1.5.2021</c:v>
                </c:pt>
                <c:pt idx="29">
                  <c:v>1.6.2021</c:v>
                </c:pt>
                <c:pt idx="30">
                  <c:v>1.7.2021</c:v>
                </c:pt>
                <c:pt idx="31">
                  <c:v>1.8.2021</c:v>
                </c:pt>
                <c:pt idx="32">
                  <c:v>1.9.2021</c:v>
                </c:pt>
                <c:pt idx="33">
                  <c:v>1.10.2021</c:v>
                </c:pt>
                <c:pt idx="34">
                  <c:v>1.11.2021</c:v>
                </c:pt>
                <c:pt idx="35">
                  <c:v>1.12.2021</c:v>
                </c:pt>
                <c:pt idx="36">
                  <c:v>1.1.2022</c:v>
                </c:pt>
                <c:pt idx="37">
                  <c:v>1.2.2022</c:v>
                </c:pt>
                <c:pt idx="38">
                  <c:v>1.3.2022</c:v>
                </c:pt>
                <c:pt idx="39">
                  <c:v>1.4.2022</c:v>
                </c:pt>
                <c:pt idx="40">
                  <c:v>1.5.2022</c:v>
                </c:pt>
                <c:pt idx="41">
                  <c:v>1.6.2022</c:v>
                </c:pt>
                <c:pt idx="42">
                  <c:v>1.7.2022</c:v>
                </c:pt>
                <c:pt idx="43">
                  <c:v>1.8.2022</c:v>
                </c:pt>
                <c:pt idx="44">
                  <c:v>1.9.2022</c:v>
                </c:pt>
                <c:pt idx="45">
                  <c:v>1.10.2022</c:v>
                </c:pt>
                <c:pt idx="46">
                  <c:v>1.11.2022</c:v>
                </c:pt>
                <c:pt idx="47">
                  <c:v>1.12.2022</c:v>
                </c:pt>
                <c:pt idx="48">
                  <c:v>1.1.2023</c:v>
                </c:pt>
                <c:pt idx="49">
                  <c:v>1.2.2023</c:v>
                </c:pt>
                <c:pt idx="50">
                  <c:v>1.3.2023</c:v>
                </c:pt>
                <c:pt idx="51">
                  <c:v>1.4.2023</c:v>
                </c:pt>
                <c:pt idx="52">
                  <c:v>1.5.2023</c:v>
                </c:pt>
                <c:pt idx="53">
                  <c:v>1.6.2023</c:v>
                </c:pt>
                <c:pt idx="54">
                  <c:v>1.7.2023</c:v>
                </c:pt>
                <c:pt idx="55">
                  <c:v>1.8.2023</c:v>
                </c:pt>
                <c:pt idx="56">
                  <c:v>1.9.2023</c:v>
                </c:pt>
                <c:pt idx="57">
                  <c:v>1.10.2023</c:v>
                </c:pt>
                <c:pt idx="58">
                  <c:v>1.11.2023</c:v>
                </c:pt>
                <c:pt idx="59">
                  <c:v>1.12.2023</c:v>
                </c:pt>
                <c:pt idx="60">
                  <c:v>1.1.2024</c:v>
                </c:pt>
                <c:pt idx="61">
                  <c:v>1.2.2024</c:v>
                </c:pt>
                <c:pt idx="62">
                  <c:v>1.3.2024</c:v>
                </c:pt>
                <c:pt idx="63">
                  <c:v>1.4.2024</c:v>
                </c:pt>
                <c:pt idx="64">
                  <c:v>1.5.2024</c:v>
                </c:pt>
                <c:pt idx="65">
                  <c:v>1.6.2024</c:v>
                </c:pt>
                <c:pt idx="66">
                  <c:v>1.7.2024</c:v>
                </c:pt>
                <c:pt idx="67">
                  <c:v>1.8.2024</c:v>
                </c:pt>
                <c:pt idx="68">
                  <c:v>1.9.2024</c:v>
                </c:pt>
                <c:pt idx="69">
                  <c:v>1.10.2024</c:v>
                </c:pt>
                <c:pt idx="70">
                  <c:v>1.11.2024</c:v>
                </c:pt>
                <c:pt idx="71">
                  <c:v>1.12.2024</c:v>
                </c:pt>
              </c:strCache>
            </c:strRef>
          </c:cat>
          <c:val>
            <c:numRef>
              <c:f>forecast1!$C$40:$C$111</c:f>
              <c:numCache>
                <c:formatCode>#,##0</c:formatCode>
                <c:ptCount val="72"/>
                <c:pt idx="0">
                  <c:v>2012920</c:v>
                </c:pt>
                <c:pt idx="1">
                  <c:v>2051550</c:v>
                </c:pt>
                <c:pt idx="2">
                  <c:v>2086880</c:v>
                </c:pt>
                <c:pt idx="3">
                  <c:v>2120570</c:v>
                </c:pt>
                <c:pt idx="4">
                  <c:v>2148480</c:v>
                </c:pt>
                <c:pt idx="5">
                  <c:v>2168700</c:v>
                </c:pt>
                <c:pt idx="6">
                  <c:v>2178240</c:v>
                </c:pt>
                <c:pt idx="7">
                  <c:v>2180170</c:v>
                </c:pt>
                <c:pt idx="8">
                  <c:v>2178550</c:v>
                </c:pt>
                <c:pt idx="9">
                  <c:v>2180430</c:v>
                </c:pt>
                <c:pt idx="10">
                  <c:v>2191760</c:v>
                </c:pt>
                <c:pt idx="11">
                  <c:v>2216490</c:v>
                </c:pt>
                <c:pt idx="12">
                  <c:v>2255430</c:v>
                </c:pt>
                <c:pt idx="13">
                  <c:v>2294370</c:v>
                </c:pt>
                <c:pt idx="14">
                  <c:v>2330700</c:v>
                </c:pt>
                <c:pt idx="15">
                  <c:v>2364420</c:v>
                </c:pt>
                <c:pt idx="16">
                  <c:v>2392330</c:v>
                </c:pt>
                <c:pt idx="17">
                  <c:v>2412550</c:v>
                </c:pt>
                <c:pt idx="18">
                  <c:v>2422090</c:v>
                </c:pt>
                <c:pt idx="19">
                  <c:v>2424020</c:v>
                </c:pt>
                <c:pt idx="20">
                  <c:v>2422400</c:v>
                </c:pt>
                <c:pt idx="21">
                  <c:v>2424280</c:v>
                </c:pt>
                <c:pt idx="22">
                  <c:v>2435610</c:v>
                </c:pt>
                <c:pt idx="23">
                  <c:v>2460340</c:v>
                </c:pt>
                <c:pt idx="24">
                  <c:v>2499280</c:v>
                </c:pt>
                <c:pt idx="25">
                  <c:v>2538220</c:v>
                </c:pt>
                <c:pt idx="26">
                  <c:v>2574550</c:v>
                </c:pt>
                <c:pt idx="27">
                  <c:v>2608270</c:v>
                </c:pt>
                <c:pt idx="28">
                  <c:v>2636180</c:v>
                </c:pt>
                <c:pt idx="29">
                  <c:v>2656400</c:v>
                </c:pt>
                <c:pt idx="30">
                  <c:v>2665940</c:v>
                </c:pt>
                <c:pt idx="31">
                  <c:v>2667870</c:v>
                </c:pt>
                <c:pt idx="32">
                  <c:v>2666250</c:v>
                </c:pt>
                <c:pt idx="33">
                  <c:v>2668130</c:v>
                </c:pt>
                <c:pt idx="34">
                  <c:v>2679460</c:v>
                </c:pt>
                <c:pt idx="35">
                  <c:v>2704190</c:v>
                </c:pt>
                <c:pt idx="36">
                  <c:v>2743130</c:v>
                </c:pt>
                <c:pt idx="37">
                  <c:v>2782070</c:v>
                </c:pt>
                <c:pt idx="38">
                  <c:v>2818400</c:v>
                </c:pt>
                <c:pt idx="39">
                  <c:v>2852120</c:v>
                </c:pt>
                <c:pt idx="40">
                  <c:v>2880030</c:v>
                </c:pt>
                <c:pt idx="41">
                  <c:v>2900250</c:v>
                </c:pt>
                <c:pt idx="42">
                  <c:v>2909790</c:v>
                </c:pt>
                <c:pt idx="43">
                  <c:v>2911720</c:v>
                </c:pt>
                <c:pt idx="44">
                  <c:v>2910100</c:v>
                </c:pt>
                <c:pt idx="45">
                  <c:v>2911980</c:v>
                </c:pt>
                <c:pt idx="46">
                  <c:v>2923310</c:v>
                </c:pt>
                <c:pt idx="47">
                  <c:v>2948040</c:v>
                </c:pt>
                <c:pt idx="48">
                  <c:v>2986980</c:v>
                </c:pt>
                <c:pt idx="49">
                  <c:v>3025920</c:v>
                </c:pt>
                <c:pt idx="50">
                  <c:v>3062250</c:v>
                </c:pt>
                <c:pt idx="51">
                  <c:v>3095970</c:v>
                </c:pt>
                <c:pt idx="52">
                  <c:v>3123880</c:v>
                </c:pt>
                <c:pt idx="53">
                  <c:v>3144100</c:v>
                </c:pt>
                <c:pt idx="54">
                  <c:v>3153640</c:v>
                </c:pt>
                <c:pt idx="55">
                  <c:v>3155570</c:v>
                </c:pt>
                <c:pt idx="56">
                  <c:v>3153950</c:v>
                </c:pt>
                <c:pt idx="57">
                  <c:v>3155830</c:v>
                </c:pt>
                <c:pt idx="58">
                  <c:v>3167160</c:v>
                </c:pt>
                <c:pt idx="59">
                  <c:v>3191890</c:v>
                </c:pt>
                <c:pt idx="60">
                  <c:v>3230830</c:v>
                </c:pt>
                <c:pt idx="61">
                  <c:v>3269770</c:v>
                </c:pt>
                <c:pt idx="62">
                  <c:v>3306100</c:v>
                </c:pt>
                <c:pt idx="63">
                  <c:v>3339820</c:v>
                </c:pt>
                <c:pt idx="64">
                  <c:v>3367730</c:v>
                </c:pt>
                <c:pt idx="65">
                  <c:v>3387950</c:v>
                </c:pt>
                <c:pt idx="66">
                  <c:v>3397490</c:v>
                </c:pt>
                <c:pt idx="67">
                  <c:v>3399420</c:v>
                </c:pt>
                <c:pt idx="68">
                  <c:v>3397800</c:v>
                </c:pt>
                <c:pt idx="69">
                  <c:v>3399680</c:v>
                </c:pt>
                <c:pt idx="70">
                  <c:v>3411010</c:v>
                </c:pt>
                <c:pt idx="71">
                  <c:v>3435740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F2-4B44-A1F8-F97FD2FCF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482960"/>
        <c:axId val="2037478640"/>
      </c:lineChart>
      <c:catAx>
        <c:axId val="20374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478640"/>
        <c:crosses val="autoZero"/>
        <c:auto val="1"/>
        <c:lblAlgn val="ctr"/>
        <c:lblOffset val="100"/>
        <c:noMultiLvlLbl val="0"/>
      </c:catAx>
      <c:valAx>
        <c:axId val="20374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48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M3</a:t>
            </a:r>
            <a:r>
              <a:rPr lang="en-IN" baseline="0"/>
              <a:t> component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forecast1!$F$39</c:f>
              <c:strCache>
                <c:ptCount val="1"/>
                <c:pt idx="0">
                  <c:v>m3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forecast1!$E$40:$E$111</c:f>
              <c:strCache>
                <c:ptCount val="72"/>
                <c:pt idx="0">
                  <c:v>1.1.2019</c:v>
                </c:pt>
                <c:pt idx="1">
                  <c:v>1.2.2019</c:v>
                </c:pt>
                <c:pt idx="2">
                  <c:v>1.3.2019</c:v>
                </c:pt>
                <c:pt idx="3">
                  <c:v>1.4.2019</c:v>
                </c:pt>
                <c:pt idx="4">
                  <c:v>1.5.2019</c:v>
                </c:pt>
                <c:pt idx="5">
                  <c:v>1.6.2019</c:v>
                </c:pt>
                <c:pt idx="6">
                  <c:v>1.7.2019</c:v>
                </c:pt>
                <c:pt idx="7">
                  <c:v>1.8.2019</c:v>
                </c:pt>
                <c:pt idx="8">
                  <c:v>1.9.2019</c:v>
                </c:pt>
                <c:pt idx="9">
                  <c:v>1.10.2019</c:v>
                </c:pt>
                <c:pt idx="10">
                  <c:v>1.11.2019</c:v>
                </c:pt>
                <c:pt idx="11">
                  <c:v>1.12.2019</c:v>
                </c:pt>
                <c:pt idx="12">
                  <c:v>1.1.2020</c:v>
                </c:pt>
                <c:pt idx="13">
                  <c:v>1.2.2020</c:v>
                </c:pt>
                <c:pt idx="14">
                  <c:v>1.3.2020</c:v>
                </c:pt>
                <c:pt idx="15">
                  <c:v>1.4.2020</c:v>
                </c:pt>
                <c:pt idx="16">
                  <c:v>1.5.2020</c:v>
                </c:pt>
                <c:pt idx="17">
                  <c:v>1.6.2020</c:v>
                </c:pt>
                <c:pt idx="18">
                  <c:v>1.7.2020</c:v>
                </c:pt>
                <c:pt idx="19">
                  <c:v>1.8.2020</c:v>
                </c:pt>
                <c:pt idx="20">
                  <c:v>1.9.2020</c:v>
                </c:pt>
                <c:pt idx="21">
                  <c:v>1.10.2020</c:v>
                </c:pt>
                <c:pt idx="22">
                  <c:v>1.11.2020</c:v>
                </c:pt>
                <c:pt idx="23">
                  <c:v>1.12.2020</c:v>
                </c:pt>
                <c:pt idx="24">
                  <c:v>1.1.2021</c:v>
                </c:pt>
                <c:pt idx="25">
                  <c:v>1.2.2021</c:v>
                </c:pt>
                <c:pt idx="26">
                  <c:v>1.3.2021</c:v>
                </c:pt>
                <c:pt idx="27">
                  <c:v>1.4.2021</c:v>
                </c:pt>
                <c:pt idx="28">
                  <c:v>1.5.2021</c:v>
                </c:pt>
                <c:pt idx="29">
                  <c:v>1.6.2021</c:v>
                </c:pt>
                <c:pt idx="30">
                  <c:v>1.7.2021</c:v>
                </c:pt>
                <c:pt idx="31">
                  <c:v>1.8.2021</c:v>
                </c:pt>
                <c:pt idx="32">
                  <c:v>1.9.2021</c:v>
                </c:pt>
                <c:pt idx="33">
                  <c:v>1.10.2021</c:v>
                </c:pt>
                <c:pt idx="34">
                  <c:v>1.11.2021</c:v>
                </c:pt>
                <c:pt idx="35">
                  <c:v>1.12.2021</c:v>
                </c:pt>
                <c:pt idx="36">
                  <c:v>1.1.2022</c:v>
                </c:pt>
                <c:pt idx="37">
                  <c:v>1.2.2022</c:v>
                </c:pt>
                <c:pt idx="38">
                  <c:v>1.3.2022</c:v>
                </c:pt>
                <c:pt idx="39">
                  <c:v>1.4.2022</c:v>
                </c:pt>
                <c:pt idx="40">
                  <c:v>1.5.2022</c:v>
                </c:pt>
                <c:pt idx="41">
                  <c:v>1.6.2022</c:v>
                </c:pt>
                <c:pt idx="42">
                  <c:v>1.7.2022</c:v>
                </c:pt>
                <c:pt idx="43">
                  <c:v>1.8.2022</c:v>
                </c:pt>
                <c:pt idx="44">
                  <c:v>1.9.2022</c:v>
                </c:pt>
                <c:pt idx="45">
                  <c:v>1.10.2022</c:v>
                </c:pt>
                <c:pt idx="46">
                  <c:v>1.11.2022</c:v>
                </c:pt>
                <c:pt idx="47">
                  <c:v>1.12.2022</c:v>
                </c:pt>
                <c:pt idx="48">
                  <c:v>1.1.2023</c:v>
                </c:pt>
                <c:pt idx="49">
                  <c:v>1.2.2023</c:v>
                </c:pt>
                <c:pt idx="50">
                  <c:v>1.3.2023</c:v>
                </c:pt>
                <c:pt idx="51">
                  <c:v>1.4.2023</c:v>
                </c:pt>
                <c:pt idx="52">
                  <c:v>1.5.2023</c:v>
                </c:pt>
                <c:pt idx="53">
                  <c:v>1.6.2023</c:v>
                </c:pt>
                <c:pt idx="54">
                  <c:v>1.7.2023</c:v>
                </c:pt>
                <c:pt idx="55">
                  <c:v>1.8.2023</c:v>
                </c:pt>
                <c:pt idx="56">
                  <c:v>1.9.2023</c:v>
                </c:pt>
                <c:pt idx="57">
                  <c:v>1.10.2023</c:v>
                </c:pt>
                <c:pt idx="58">
                  <c:v>1.11.2023</c:v>
                </c:pt>
                <c:pt idx="59">
                  <c:v>1.12.2023</c:v>
                </c:pt>
                <c:pt idx="60">
                  <c:v>1.1.2024</c:v>
                </c:pt>
                <c:pt idx="61">
                  <c:v>1.2.2024</c:v>
                </c:pt>
                <c:pt idx="62">
                  <c:v>1.3.2024</c:v>
                </c:pt>
                <c:pt idx="63">
                  <c:v>1.4.2024</c:v>
                </c:pt>
                <c:pt idx="64">
                  <c:v>1.5.2024</c:v>
                </c:pt>
                <c:pt idx="65">
                  <c:v>1.6.2024</c:v>
                </c:pt>
                <c:pt idx="66">
                  <c:v>1.7.2024</c:v>
                </c:pt>
                <c:pt idx="67">
                  <c:v>1.8.2024</c:v>
                </c:pt>
                <c:pt idx="68">
                  <c:v>1.9.2024</c:v>
                </c:pt>
                <c:pt idx="69">
                  <c:v>1.10.2024</c:v>
                </c:pt>
                <c:pt idx="70">
                  <c:v>1.11.2024</c:v>
                </c:pt>
                <c:pt idx="71">
                  <c:v>1.12.2024</c:v>
                </c:pt>
              </c:strCache>
            </c:strRef>
          </c:cat>
          <c:val>
            <c:numRef>
              <c:f>forecast1!$F$40:$F$111</c:f>
              <c:numCache>
                <c:formatCode>General</c:formatCode>
                <c:ptCount val="72"/>
                <c:pt idx="0">
                  <c:v>14758783</c:v>
                </c:pt>
                <c:pt idx="1">
                  <c:v>16458977</c:v>
                </c:pt>
                <c:pt idx="2">
                  <c:v>15443594</c:v>
                </c:pt>
                <c:pt idx="3">
                  <c:v>15378604</c:v>
                </c:pt>
                <c:pt idx="4">
                  <c:v>15421077</c:v>
                </c:pt>
                <c:pt idx="5">
                  <c:v>15416104</c:v>
                </c:pt>
                <c:pt idx="6">
                  <c:v>15567781</c:v>
                </c:pt>
                <c:pt idx="7">
                  <c:v>15677090</c:v>
                </c:pt>
                <c:pt idx="8">
                  <c:v>15814167</c:v>
                </c:pt>
                <c:pt idx="9">
                  <c:v>15955362</c:v>
                </c:pt>
                <c:pt idx="10">
                  <c:v>15945749</c:v>
                </c:pt>
                <c:pt idx="11">
                  <c:v>16062978</c:v>
                </c:pt>
                <c:pt idx="12">
                  <c:v>16418624</c:v>
                </c:pt>
                <c:pt idx="13">
                  <c:v>16458977</c:v>
                </c:pt>
                <c:pt idx="14">
                  <c:v>16791629</c:v>
                </c:pt>
                <c:pt idx="15">
                  <c:v>17034088</c:v>
                </c:pt>
                <c:pt idx="16">
                  <c:v>17230864</c:v>
                </c:pt>
                <c:pt idx="17">
                  <c:v>17319418</c:v>
                </c:pt>
                <c:pt idx="18">
                  <c:v>17625803</c:v>
                </c:pt>
                <c:pt idx="19">
                  <c:v>17647997</c:v>
                </c:pt>
                <c:pt idx="20">
                  <c:v>17739734</c:v>
                </c:pt>
                <c:pt idx="21">
                  <c:v>17803739</c:v>
                </c:pt>
                <c:pt idx="22">
                  <c:v>17937939</c:v>
                </c:pt>
                <c:pt idx="23">
                  <c:v>18055372</c:v>
                </c:pt>
                <c:pt idx="24">
                  <c:v>18406666</c:v>
                </c:pt>
                <c:pt idx="25">
                  <c:v>18563764</c:v>
                </c:pt>
                <c:pt idx="26">
                  <c:v>18849451</c:v>
                </c:pt>
                <c:pt idx="27">
                  <c:v>18919037</c:v>
                </c:pt>
                <c:pt idx="28">
                  <c:v>19012126</c:v>
                </c:pt>
                <c:pt idx="29">
                  <c:v>19169565</c:v>
                </c:pt>
                <c:pt idx="30">
                  <c:v>19372776</c:v>
                </c:pt>
                <c:pt idx="31" formatCode="0">
                  <c:v>19330427</c:v>
                </c:pt>
                <c:pt idx="32">
                  <c:v>19396289</c:v>
                </c:pt>
                <c:pt idx="33">
                  <c:v>19523114</c:v>
                </c:pt>
                <c:pt idx="34">
                  <c:v>19645634</c:v>
                </c:pt>
                <c:pt idx="35">
                  <c:v>20114036</c:v>
                </c:pt>
                <c:pt idx="36" formatCode="0">
                  <c:v>19947684</c:v>
                </c:pt>
                <c:pt idx="37" formatCode="0">
                  <c:v>20183528</c:v>
                </c:pt>
                <c:pt idx="38">
                  <c:v>20489597</c:v>
                </c:pt>
                <c:pt idx="39">
                  <c:v>20712048</c:v>
                </c:pt>
                <c:pt idx="40">
                  <c:v>20682307</c:v>
                </c:pt>
                <c:pt idx="41">
                  <c:v>20663817</c:v>
                </c:pt>
                <c:pt idx="42">
                  <c:v>21032348</c:v>
                </c:pt>
                <c:pt idx="43">
                  <c:v>21051423</c:v>
                </c:pt>
                <c:pt idx="44">
                  <c:v>21072896</c:v>
                </c:pt>
                <c:pt idx="45">
                  <c:v>21301949</c:v>
                </c:pt>
                <c:pt idx="46">
                  <c:v>21399921</c:v>
                </c:pt>
                <c:pt idx="47">
                  <c:v>24255556</c:v>
                </c:pt>
                <c:pt idx="48" formatCode="0">
                  <c:v>21895034</c:v>
                </c:pt>
                <c:pt idx="49">
                  <c:v>22093331</c:v>
                </c:pt>
                <c:pt idx="50">
                  <c:v>22333227</c:v>
                </c:pt>
                <c:pt idx="51">
                  <c:v>22683199</c:v>
                </c:pt>
                <c:pt idx="52">
                  <c:v>22766810</c:v>
                </c:pt>
                <c:pt idx="53">
                  <c:v>25702033</c:v>
                </c:pt>
                <c:pt idx="54">
                  <c:v>25590453</c:v>
                </c:pt>
                <c:pt idx="55">
                  <c:v>23325909</c:v>
                </c:pt>
                <c:pt idx="56">
                  <c:v>23362301</c:v>
                </c:pt>
                <c:pt idx="57">
                  <c:v>23605738</c:v>
                </c:pt>
                <c:pt idx="58">
                  <c:v>23806744</c:v>
                </c:pt>
                <c:pt idx="59" formatCode="0">
                  <c:v>24255556</c:v>
                </c:pt>
                <c:pt idx="60" formatCode="0">
                  <c:v>24301366</c:v>
                </c:pt>
                <c:pt idx="61">
                  <c:v>24494113</c:v>
                </c:pt>
                <c:pt idx="62">
                  <c:v>24830516</c:v>
                </c:pt>
                <c:pt idx="63">
                  <c:v>25153975</c:v>
                </c:pt>
                <c:pt idx="64">
                  <c:v>25514591</c:v>
                </c:pt>
                <c:pt idx="65">
                  <c:v>25701839</c:v>
                </c:pt>
                <c:pt idx="66">
                  <c:v>25590453</c:v>
                </c:pt>
                <c:pt idx="67">
                  <c:v>25704100</c:v>
                </c:pt>
                <c:pt idx="68">
                  <c:v>25878848</c:v>
                </c:pt>
                <c:pt idx="69">
                  <c:v>26216711</c:v>
                </c:pt>
                <c:pt idx="70">
                  <c:v>26448230</c:v>
                </c:pt>
                <c:pt idx="71">
                  <c:v>26512774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B8-49F9-A2A8-794411A5FC8D}"/>
            </c:ext>
          </c:extLst>
        </c:ser>
        <c:ser>
          <c:idx val="1"/>
          <c:order val="1"/>
          <c:tx>
            <c:strRef>
              <c:f>forecast1!#REF!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forecast1!$E$40:$E$111</c:f>
              <c:strCache>
                <c:ptCount val="72"/>
                <c:pt idx="0">
                  <c:v>1.1.2019</c:v>
                </c:pt>
                <c:pt idx="1">
                  <c:v>1.2.2019</c:v>
                </c:pt>
                <c:pt idx="2">
                  <c:v>1.3.2019</c:v>
                </c:pt>
                <c:pt idx="3">
                  <c:v>1.4.2019</c:v>
                </c:pt>
                <c:pt idx="4">
                  <c:v>1.5.2019</c:v>
                </c:pt>
                <c:pt idx="5">
                  <c:v>1.6.2019</c:v>
                </c:pt>
                <c:pt idx="6">
                  <c:v>1.7.2019</c:v>
                </c:pt>
                <c:pt idx="7">
                  <c:v>1.8.2019</c:v>
                </c:pt>
                <c:pt idx="8">
                  <c:v>1.9.2019</c:v>
                </c:pt>
                <c:pt idx="9">
                  <c:v>1.10.2019</c:v>
                </c:pt>
                <c:pt idx="10">
                  <c:v>1.11.2019</c:v>
                </c:pt>
                <c:pt idx="11">
                  <c:v>1.12.2019</c:v>
                </c:pt>
                <c:pt idx="12">
                  <c:v>1.1.2020</c:v>
                </c:pt>
                <c:pt idx="13">
                  <c:v>1.2.2020</c:v>
                </c:pt>
                <c:pt idx="14">
                  <c:v>1.3.2020</c:v>
                </c:pt>
                <c:pt idx="15">
                  <c:v>1.4.2020</c:v>
                </c:pt>
                <c:pt idx="16">
                  <c:v>1.5.2020</c:v>
                </c:pt>
                <c:pt idx="17">
                  <c:v>1.6.2020</c:v>
                </c:pt>
                <c:pt idx="18">
                  <c:v>1.7.2020</c:v>
                </c:pt>
                <c:pt idx="19">
                  <c:v>1.8.2020</c:v>
                </c:pt>
                <c:pt idx="20">
                  <c:v>1.9.2020</c:v>
                </c:pt>
                <c:pt idx="21">
                  <c:v>1.10.2020</c:v>
                </c:pt>
                <c:pt idx="22">
                  <c:v>1.11.2020</c:v>
                </c:pt>
                <c:pt idx="23">
                  <c:v>1.12.2020</c:v>
                </c:pt>
                <c:pt idx="24">
                  <c:v>1.1.2021</c:v>
                </c:pt>
                <c:pt idx="25">
                  <c:v>1.2.2021</c:v>
                </c:pt>
                <c:pt idx="26">
                  <c:v>1.3.2021</c:v>
                </c:pt>
                <c:pt idx="27">
                  <c:v>1.4.2021</c:v>
                </c:pt>
                <c:pt idx="28">
                  <c:v>1.5.2021</c:v>
                </c:pt>
                <c:pt idx="29">
                  <c:v>1.6.2021</c:v>
                </c:pt>
                <c:pt idx="30">
                  <c:v>1.7.2021</c:v>
                </c:pt>
                <c:pt idx="31">
                  <c:v>1.8.2021</c:v>
                </c:pt>
                <c:pt idx="32">
                  <c:v>1.9.2021</c:v>
                </c:pt>
                <c:pt idx="33">
                  <c:v>1.10.2021</c:v>
                </c:pt>
                <c:pt idx="34">
                  <c:v>1.11.2021</c:v>
                </c:pt>
                <c:pt idx="35">
                  <c:v>1.12.2021</c:v>
                </c:pt>
                <c:pt idx="36">
                  <c:v>1.1.2022</c:v>
                </c:pt>
                <c:pt idx="37">
                  <c:v>1.2.2022</c:v>
                </c:pt>
                <c:pt idx="38">
                  <c:v>1.3.2022</c:v>
                </c:pt>
                <c:pt idx="39">
                  <c:v>1.4.2022</c:v>
                </c:pt>
                <c:pt idx="40">
                  <c:v>1.5.2022</c:v>
                </c:pt>
                <c:pt idx="41">
                  <c:v>1.6.2022</c:v>
                </c:pt>
                <c:pt idx="42">
                  <c:v>1.7.2022</c:v>
                </c:pt>
                <c:pt idx="43">
                  <c:v>1.8.2022</c:v>
                </c:pt>
                <c:pt idx="44">
                  <c:v>1.9.2022</c:v>
                </c:pt>
                <c:pt idx="45">
                  <c:v>1.10.2022</c:v>
                </c:pt>
                <c:pt idx="46">
                  <c:v>1.11.2022</c:v>
                </c:pt>
                <c:pt idx="47">
                  <c:v>1.12.2022</c:v>
                </c:pt>
                <c:pt idx="48">
                  <c:v>1.1.2023</c:v>
                </c:pt>
                <c:pt idx="49">
                  <c:v>1.2.2023</c:v>
                </c:pt>
                <c:pt idx="50">
                  <c:v>1.3.2023</c:v>
                </c:pt>
                <c:pt idx="51">
                  <c:v>1.4.2023</c:v>
                </c:pt>
                <c:pt idx="52">
                  <c:v>1.5.2023</c:v>
                </c:pt>
                <c:pt idx="53">
                  <c:v>1.6.2023</c:v>
                </c:pt>
                <c:pt idx="54">
                  <c:v>1.7.2023</c:v>
                </c:pt>
                <c:pt idx="55">
                  <c:v>1.8.2023</c:v>
                </c:pt>
                <c:pt idx="56">
                  <c:v>1.9.2023</c:v>
                </c:pt>
                <c:pt idx="57">
                  <c:v>1.10.2023</c:v>
                </c:pt>
                <c:pt idx="58">
                  <c:v>1.11.2023</c:v>
                </c:pt>
                <c:pt idx="59">
                  <c:v>1.12.2023</c:v>
                </c:pt>
                <c:pt idx="60">
                  <c:v>1.1.2024</c:v>
                </c:pt>
                <c:pt idx="61">
                  <c:v>1.2.2024</c:v>
                </c:pt>
                <c:pt idx="62">
                  <c:v>1.3.2024</c:v>
                </c:pt>
                <c:pt idx="63">
                  <c:v>1.4.2024</c:v>
                </c:pt>
                <c:pt idx="64">
                  <c:v>1.5.2024</c:v>
                </c:pt>
                <c:pt idx="65">
                  <c:v>1.6.2024</c:v>
                </c:pt>
                <c:pt idx="66">
                  <c:v>1.7.2024</c:v>
                </c:pt>
                <c:pt idx="67">
                  <c:v>1.8.2024</c:v>
                </c:pt>
                <c:pt idx="68">
                  <c:v>1.9.2024</c:v>
                </c:pt>
                <c:pt idx="69">
                  <c:v>1.10.2024</c:v>
                </c:pt>
                <c:pt idx="70">
                  <c:v>1.11.2024</c:v>
                </c:pt>
                <c:pt idx="71">
                  <c:v>1.12.2024</c:v>
                </c:pt>
              </c:strCache>
              <c:extLst xmlns:c15="http://schemas.microsoft.com/office/drawing/2012/chart"/>
            </c:strRef>
          </c:cat>
          <c:val>
            <c:numRef>
              <c:f>forecast1!#REF!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B8-49F9-A2A8-794411A5FC8D}"/>
            </c:ext>
          </c:extLst>
        </c:ser>
        <c:ser>
          <c:idx val="2"/>
          <c:order val="2"/>
          <c:tx>
            <c:strRef>
              <c:f>forecast1!$G$39</c:f>
              <c:strCache>
                <c:ptCount val="1"/>
                <c:pt idx="0">
                  <c:v>Forecasted 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forecast1!$E$40:$E$111</c:f>
              <c:strCache>
                <c:ptCount val="72"/>
                <c:pt idx="0">
                  <c:v>1.1.2019</c:v>
                </c:pt>
                <c:pt idx="1">
                  <c:v>1.2.2019</c:v>
                </c:pt>
                <c:pt idx="2">
                  <c:v>1.3.2019</c:v>
                </c:pt>
                <c:pt idx="3">
                  <c:v>1.4.2019</c:v>
                </c:pt>
                <c:pt idx="4">
                  <c:v>1.5.2019</c:v>
                </c:pt>
                <c:pt idx="5">
                  <c:v>1.6.2019</c:v>
                </c:pt>
                <c:pt idx="6">
                  <c:v>1.7.2019</c:v>
                </c:pt>
                <c:pt idx="7">
                  <c:v>1.8.2019</c:v>
                </c:pt>
                <c:pt idx="8">
                  <c:v>1.9.2019</c:v>
                </c:pt>
                <c:pt idx="9">
                  <c:v>1.10.2019</c:v>
                </c:pt>
                <c:pt idx="10">
                  <c:v>1.11.2019</c:v>
                </c:pt>
                <c:pt idx="11">
                  <c:v>1.12.2019</c:v>
                </c:pt>
                <c:pt idx="12">
                  <c:v>1.1.2020</c:v>
                </c:pt>
                <c:pt idx="13">
                  <c:v>1.2.2020</c:v>
                </c:pt>
                <c:pt idx="14">
                  <c:v>1.3.2020</c:v>
                </c:pt>
                <c:pt idx="15">
                  <c:v>1.4.2020</c:v>
                </c:pt>
                <c:pt idx="16">
                  <c:v>1.5.2020</c:v>
                </c:pt>
                <c:pt idx="17">
                  <c:v>1.6.2020</c:v>
                </c:pt>
                <c:pt idx="18">
                  <c:v>1.7.2020</c:v>
                </c:pt>
                <c:pt idx="19">
                  <c:v>1.8.2020</c:v>
                </c:pt>
                <c:pt idx="20">
                  <c:v>1.9.2020</c:v>
                </c:pt>
                <c:pt idx="21">
                  <c:v>1.10.2020</c:v>
                </c:pt>
                <c:pt idx="22">
                  <c:v>1.11.2020</c:v>
                </c:pt>
                <c:pt idx="23">
                  <c:v>1.12.2020</c:v>
                </c:pt>
                <c:pt idx="24">
                  <c:v>1.1.2021</c:v>
                </c:pt>
                <c:pt idx="25">
                  <c:v>1.2.2021</c:v>
                </c:pt>
                <c:pt idx="26">
                  <c:v>1.3.2021</c:v>
                </c:pt>
                <c:pt idx="27">
                  <c:v>1.4.2021</c:v>
                </c:pt>
                <c:pt idx="28">
                  <c:v>1.5.2021</c:v>
                </c:pt>
                <c:pt idx="29">
                  <c:v>1.6.2021</c:v>
                </c:pt>
                <c:pt idx="30">
                  <c:v>1.7.2021</c:v>
                </c:pt>
                <c:pt idx="31">
                  <c:v>1.8.2021</c:v>
                </c:pt>
                <c:pt idx="32">
                  <c:v>1.9.2021</c:v>
                </c:pt>
                <c:pt idx="33">
                  <c:v>1.10.2021</c:v>
                </c:pt>
                <c:pt idx="34">
                  <c:v>1.11.2021</c:v>
                </c:pt>
                <c:pt idx="35">
                  <c:v>1.12.2021</c:v>
                </c:pt>
                <c:pt idx="36">
                  <c:v>1.1.2022</c:v>
                </c:pt>
                <c:pt idx="37">
                  <c:v>1.2.2022</c:v>
                </c:pt>
                <c:pt idx="38">
                  <c:v>1.3.2022</c:v>
                </c:pt>
                <c:pt idx="39">
                  <c:v>1.4.2022</c:v>
                </c:pt>
                <c:pt idx="40">
                  <c:v>1.5.2022</c:v>
                </c:pt>
                <c:pt idx="41">
                  <c:v>1.6.2022</c:v>
                </c:pt>
                <c:pt idx="42">
                  <c:v>1.7.2022</c:v>
                </c:pt>
                <c:pt idx="43">
                  <c:v>1.8.2022</c:v>
                </c:pt>
                <c:pt idx="44">
                  <c:v>1.9.2022</c:v>
                </c:pt>
                <c:pt idx="45">
                  <c:v>1.10.2022</c:v>
                </c:pt>
                <c:pt idx="46">
                  <c:v>1.11.2022</c:v>
                </c:pt>
                <c:pt idx="47">
                  <c:v>1.12.2022</c:v>
                </c:pt>
                <c:pt idx="48">
                  <c:v>1.1.2023</c:v>
                </c:pt>
                <c:pt idx="49">
                  <c:v>1.2.2023</c:v>
                </c:pt>
                <c:pt idx="50">
                  <c:v>1.3.2023</c:v>
                </c:pt>
                <c:pt idx="51">
                  <c:v>1.4.2023</c:v>
                </c:pt>
                <c:pt idx="52">
                  <c:v>1.5.2023</c:v>
                </c:pt>
                <c:pt idx="53">
                  <c:v>1.6.2023</c:v>
                </c:pt>
                <c:pt idx="54">
                  <c:v>1.7.2023</c:v>
                </c:pt>
                <c:pt idx="55">
                  <c:v>1.8.2023</c:v>
                </c:pt>
                <c:pt idx="56">
                  <c:v>1.9.2023</c:v>
                </c:pt>
                <c:pt idx="57">
                  <c:v>1.10.2023</c:v>
                </c:pt>
                <c:pt idx="58">
                  <c:v>1.11.2023</c:v>
                </c:pt>
                <c:pt idx="59">
                  <c:v>1.12.2023</c:v>
                </c:pt>
                <c:pt idx="60">
                  <c:v>1.1.2024</c:v>
                </c:pt>
                <c:pt idx="61">
                  <c:v>1.2.2024</c:v>
                </c:pt>
                <c:pt idx="62">
                  <c:v>1.3.2024</c:v>
                </c:pt>
                <c:pt idx="63">
                  <c:v>1.4.2024</c:v>
                </c:pt>
                <c:pt idx="64">
                  <c:v>1.5.2024</c:v>
                </c:pt>
                <c:pt idx="65">
                  <c:v>1.6.2024</c:v>
                </c:pt>
                <c:pt idx="66">
                  <c:v>1.7.2024</c:v>
                </c:pt>
                <c:pt idx="67">
                  <c:v>1.8.2024</c:v>
                </c:pt>
                <c:pt idx="68">
                  <c:v>1.9.2024</c:v>
                </c:pt>
                <c:pt idx="69">
                  <c:v>1.10.2024</c:v>
                </c:pt>
                <c:pt idx="70">
                  <c:v>1.11.2024</c:v>
                </c:pt>
                <c:pt idx="71">
                  <c:v>1.12.2024</c:v>
                </c:pt>
              </c:strCache>
            </c:strRef>
          </c:cat>
          <c:val>
            <c:numRef>
              <c:f>forecast1!$G$40:$G$111</c:f>
              <c:numCache>
                <c:formatCode>#,##0</c:formatCode>
                <c:ptCount val="72"/>
                <c:pt idx="0">
                  <c:v>15176890</c:v>
                </c:pt>
                <c:pt idx="1">
                  <c:v>15583240</c:v>
                </c:pt>
                <c:pt idx="2">
                  <c:v>15935400</c:v>
                </c:pt>
                <c:pt idx="3">
                  <c:v>16486200</c:v>
                </c:pt>
                <c:pt idx="4">
                  <c:v>16603300</c:v>
                </c:pt>
                <c:pt idx="5">
                  <c:v>16618900</c:v>
                </c:pt>
                <c:pt idx="6">
                  <c:v>16621600</c:v>
                </c:pt>
                <c:pt idx="7">
                  <c:v>16738800</c:v>
                </c:pt>
                <c:pt idx="8">
                  <c:v>16564800</c:v>
                </c:pt>
                <c:pt idx="9">
                  <c:v>17022100</c:v>
                </c:pt>
                <c:pt idx="10">
                  <c:v>8962600</c:v>
                </c:pt>
                <c:pt idx="11">
                  <c:v>7858600</c:v>
                </c:pt>
                <c:pt idx="12">
                  <c:v>9134800</c:v>
                </c:pt>
                <c:pt idx="13">
                  <c:v>10644900</c:v>
                </c:pt>
                <c:pt idx="14">
                  <c:v>12641200</c:v>
                </c:pt>
                <c:pt idx="15">
                  <c:v>13621900</c:v>
                </c:pt>
                <c:pt idx="16">
                  <c:v>14133100</c:v>
                </c:pt>
                <c:pt idx="17">
                  <c:v>14526500</c:v>
                </c:pt>
                <c:pt idx="18">
                  <c:v>14694900</c:v>
                </c:pt>
                <c:pt idx="19">
                  <c:v>14896500</c:v>
                </c:pt>
                <c:pt idx="20">
                  <c:v>14970300</c:v>
                </c:pt>
                <c:pt idx="21">
                  <c:v>15485600</c:v>
                </c:pt>
                <c:pt idx="22">
                  <c:v>15815500</c:v>
                </c:pt>
                <c:pt idx="23">
                  <c:v>16164200</c:v>
                </c:pt>
                <c:pt idx="24">
                  <c:v>16607400</c:v>
                </c:pt>
                <c:pt idx="25">
                  <c:v>17071900</c:v>
                </c:pt>
                <c:pt idx="26">
                  <c:v>17604400</c:v>
                </c:pt>
                <c:pt idx="27">
                  <c:v>18248800</c:v>
                </c:pt>
                <c:pt idx="28">
                  <c:v>18537900</c:v>
                </c:pt>
                <c:pt idx="29">
                  <c:v>18767600</c:v>
                </c:pt>
                <c:pt idx="30">
                  <c:v>18589330</c:v>
                </c:pt>
                <c:pt idx="31">
                  <c:v>18468440</c:v>
                </c:pt>
                <c:pt idx="32">
                  <c:v>18429360</c:v>
                </c:pt>
                <c:pt idx="33">
                  <c:v>18751350</c:v>
                </c:pt>
                <c:pt idx="34">
                  <c:v>19244500</c:v>
                </c:pt>
                <c:pt idx="35">
                  <c:v>19509100</c:v>
                </c:pt>
                <c:pt idx="36">
                  <c:v>19867350</c:v>
                </c:pt>
                <c:pt idx="37">
                  <c:v>22554260</c:v>
                </c:pt>
                <c:pt idx="38">
                  <c:v>20550440</c:v>
                </c:pt>
                <c:pt idx="39">
                  <c:v>20920670</c:v>
                </c:pt>
                <c:pt idx="40">
                  <c:v>21173660</c:v>
                </c:pt>
                <c:pt idx="41">
                  <c:v>21166770</c:v>
                </c:pt>
                <c:pt idx="42">
                  <c:v>20987050</c:v>
                </c:pt>
                <c:pt idx="43">
                  <c:v>20826340</c:v>
                </c:pt>
                <c:pt idx="44">
                  <c:v>20891980</c:v>
                </c:pt>
                <c:pt idx="45">
                  <c:v>21618810</c:v>
                </c:pt>
                <c:pt idx="46">
                  <c:v>21724880</c:v>
                </c:pt>
                <c:pt idx="47">
                  <c:v>21806010</c:v>
                </c:pt>
                <c:pt idx="48">
                  <c:v>22187750</c:v>
                </c:pt>
                <c:pt idx="49">
                  <c:v>22554260</c:v>
                </c:pt>
                <c:pt idx="50">
                  <c:v>23417440</c:v>
                </c:pt>
                <c:pt idx="51">
                  <c:v>24246210</c:v>
                </c:pt>
                <c:pt idx="52">
                  <c:v>25127420</c:v>
                </c:pt>
                <c:pt idx="53">
                  <c:v>25670080</c:v>
                </c:pt>
                <c:pt idx="54">
                  <c:v>25762930</c:v>
                </c:pt>
                <c:pt idx="55">
                  <c:v>25831110</c:v>
                </c:pt>
                <c:pt idx="56">
                  <c:v>25852120</c:v>
                </c:pt>
                <c:pt idx="57">
                  <c:v>26195780</c:v>
                </c:pt>
                <c:pt idx="58">
                  <c:v>26735340</c:v>
                </c:pt>
                <c:pt idx="59">
                  <c:v>26815120</c:v>
                </c:pt>
                <c:pt idx="60">
                  <c:v>31697200</c:v>
                </c:pt>
                <c:pt idx="61">
                  <c:v>32227370</c:v>
                </c:pt>
                <c:pt idx="62">
                  <c:v>32783340</c:v>
                </c:pt>
                <c:pt idx="63">
                  <c:v>33464860</c:v>
                </c:pt>
                <c:pt idx="64">
                  <c:v>33713910</c:v>
                </c:pt>
                <c:pt idx="65">
                  <c:v>34460550</c:v>
                </c:pt>
                <c:pt idx="66">
                  <c:v>34260890</c:v>
                </c:pt>
                <c:pt idx="67">
                  <c:v>32053020</c:v>
                </c:pt>
                <c:pt idx="68">
                  <c:v>31959760</c:v>
                </c:pt>
                <c:pt idx="69">
                  <c:v>32016820</c:v>
                </c:pt>
                <c:pt idx="70">
                  <c:v>32547990</c:v>
                </c:pt>
                <c:pt idx="71">
                  <c:v>32556800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B8-49F9-A2A8-794411A5F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376079"/>
        <c:axId val="821374159"/>
        <c:extLst/>
      </c:lineChart>
      <c:catAx>
        <c:axId val="82137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374159"/>
        <c:crosses val="autoZero"/>
        <c:auto val="1"/>
        <c:lblAlgn val="ctr"/>
        <c:lblOffset val="100"/>
        <c:noMultiLvlLbl val="0"/>
      </c:catAx>
      <c:valAx>
        <c:axId val="8213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37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Reserve</a:t>
            </a:r>
            <a:r>
              <a:rPr lang="en-IN" baseline="0"/>
              <a:t> Money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Sheet2!$B$38</c:f>
              <c:strCache>
                <c:ptCount val="1"/>
                <c:pt idx="0">
                  <c:v>Reserve Money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Sheet2!$A$39:$A$110</c:f>
              <c:strCache>
                <c:ptCount val="72"/>
                <c:pt idx="0">
                  <c:v>1.1.2019</c:v>
                </c:pt>
                <c:pt idx="1">
                  <c:v>1.2.2019</c:v>
                </c:pt>
                <c:pt idx="2">
                  <c:v>1.3.2019</c:v>
                </c:pt>
                <c:pt idx="3">
                  <c:v>1.4.2019</c:v>
                </c:pt>
                <c:pt idx="4">
                  <c:v>1.5.2019</c:v>
                </c:pt>
                <c:pt idx="5">
                  <c:v>1.6.2019</c:v>
                </c:pt>
                <c:pt idx="6">
                  <c:v>1.7.2019</c:v>
                </c:pt>
                <c:pt idx="7">
                  <c:v>1.8.2019</c:v>
                </c:pt>
                <c:pt idx="8">
                  <c:v>1.9.2019</c:v>
                </c:pt>
                <c:pt idx="9">
                  <c:v>1.10.2019</c:v>
                </c:pt>
                <c:pt idx="10">
                  <c:v>1.11.2019</c:v>
                </c:pt>
                <c:pt idx="11">
                  <c:v>1.12.2019</c:v>
                </c:pt>
                <c:pt idx="12">
                  <c:v>1.1.2020</c:v>
                </c:pt>
                <c:pt idx="13">
                  <c:v>1.2.2020</c:v>
                </c:pt>
                <c:pt idx="14">
                  <c:v>1.3.2020</c:v>
                </c:pt>
                <c:pt idx="15">
                  <c:v>1.4.2020</c:v>
                </c:pt>
                <c:pt idx="16">
                  <c:v>1.5.2020</c:v>
                </c:pt>
                <c:pt idx="17">
                  <c:v>1.6.2020</c:v>
                </c:pt>
                <c:pt idx="18">
                  <c:v>1.7.2020</c:v>
                </c:pt>
                <c:pt idx="19">
                  <c:v>1.8.2020</c:v>
                </c:pt>
                <c:pt idx="20">
                  <c:v>1.9.2020</c:v>
                </c:pt>
                <c:pt idx="21">
                  <c:v>1.10.2020</c:v>
                </c:pt>
                <c:pt idx="22">
                  <c:v>1.11.2020</c:v>
                </c:pt>
                <c:pt idx="23">
                  <c:v>1.12.2020</c:v>
                </c:pt>
                <c:pt idx="24">
                  <c:v>1.1.2021</c:v>
                </c:pt>
                <c:pt idx="25">
                  <c:v>1.2.2021</c:v>
                </c:pt>
                <c:pt idx="26">
                  <c:v>1.3.2021</c:v>
                </c:pt>
                <c:pt idx="27">
                  <c:v>1.4.2021</c:v>
                </c:pt>
                <c:pt idx="28">
                  <c:v>1.5.2021</c:v>
                </c:pt>
                <c:pt idx="29">
                  <c:v>1.6.2021</c:v>
                </c:pt>
                <c:pt idx="30">
                  <c:v>1.7.2021</c:v>
                </c:pt>
                <c:pt idx="31">
                  <c:v>1.8.2021</c:v>
                </c:pt>
                <c:pt idx="32">
                  <c:v>1.9.2021</c:v>
                </c:pt>
                <c:pt idx="33">
                  <c:v>1.10.2021</c:v>
                </c:pt>
                <c:pt idx="34">
                  <c:v>1.11.2021</c:v>
                </c:pt>
                <c:pt idx="35">
                  <c:v>1.12.2021</c:v>
                </c:pt>
                <c:pt idx="36">
                  <c:v>1.1.2022</c:v>
                </c:pt>
                <c:pt idx="37">
                  <c:v>1.2.2022</c:v>
                </c:pt>
                <c:pt idx="38">
                  <c:v>1.3.2022</c:v>
                </c:pt>
                <c:pt idx="39">
                  <c:v>1.4.2022</c:v>
                </c:pt>
                <c:pt idx="40">
                  <c:v>1.5.2022</c:v>
                </c:pt>
                <c:pt idx="41">
                  <c:v>1.6.2022</c:v>
                </c:pt>
                <c:pt idx="42">
                  <c:v>1.7.2022</c:v>
                </c:pt>
                <c:pt idx="43">
                  <c:v>1.8.2022</c:v>
                </c:pt>
                <c:pt idx="44">
                  <c:v>1.9.2022</c:v>
                </c:pt>
                <c:pt idx="45">
                  <c:v>1.10.2022</c:v>
                </c:pt>
                <c:pt idx="46">
                  <c:v>1.11.2022</c:v>
                </c:pt>
                <c:pt idx="47">
                  <c:v>1.12.2022</c:v>
                </c:pt>
                <c:pt idx="48">
                  <c:v>1.1.2023</c:v>
                </c:pt>
                <c:pt idx="49">
                  <c:v>1.2.2023</c:v>
                </c:pt>
                <c:pt idx="50">
                  <c:v>1.3.2023</c:v>
                </c:pt>
                <c:pt idx="51">
                  <c:v>1.4.2023</c:v>
                </c:pt>
                <c:pt idx="52">
                  <c:v>1.5.2023</c:v>
                </c:pt>
                <c:pt idx="53">
                  <c:v>1.6.2023</c:v>
                </c:pt>
                <c:pt idx="54">
                  <c:v>1.7.2023</c:v>
                </c:pt>
                <c:pt idx="55">
                  <c:v>1.8.2023</c:v>
                </c:pt>
                <c:pt idx="56">
                  <c:v>1.9.2023</c:v>
                </c:pt>
                <c:pt idx="57">
                  <c:v>1.10.2023</c:v>
                </c:pt>
                <c:pt idx="58">
                  <c:v>1.11.2023</c:v>
                </c:pt>
                <c:pt idx="59">
                  <c:v>1.12.2023</c:v>
                </c:pt>
                <c:pt idx="60">
                  <c:v>1.1.2024</c:v>
                </c:pt>
                <c:pt idx="61">
                  <c:v>1.2.2024</c:v>
                </c:pt>
                <c:pt idx="62">
                  <c:v>1.3.2024</c:v>
                </c:pt>
                <c:pt idx="63">
                  <c:v>1.4.2024</c:v>
                </c:pt>
                <c:pt idx="64">
                  <c:v>1.5.2024</c:v>
                </c:pt>
                <c:pt idx="65">
                  <c:v>1.6.2024</c:v>
                </c:pt>
                <c:pt idx="66">
                  <c:v>1.7.2024</c:v>
                </c:pt>
                <c:pt idx="67">
                  <c:v>1.8.2024</c:v>
                </c:pt>
                <c:pt idx="68">
                  <c:v>1.9.2024</c:v>
                </c:pt>
                <c:pt idx="69">
                  <c:v>1.10.2024</c:v>
                </c:pt>
                <c:pt idx="70">
                  <c:v>1.11.2024</c:v>
                </c:pt>
                <c:pt idx="71">
                  <c:v>1.12.2024</c:v>
                </c:pt>
              </c:strCache>
            </c:strRef>
          </c:cat>
          <c:val>
            <c:numRef>
              <c:f>Sheet2!$B$39:$B$110</c:f>
              <c:numCache>
                <c:formatCode>General</c:formatCode>
                <c:ptCount val="72"/>
                <c:pt idx="0">
                  <c:v>2143382</c:v>
                </c:pt>
                <c:pt idx="1">
                  <c:v>2441051</c:v>
                </c:pt>
                <c:pt idx="2">
                  <c:v>2224166</c:v>
                </c:pt>
                <c:pt idx="3">
                  <c:v>2267893</c:v>
                </c:pt>
                <c:pt idx="4">
                  <c:v>2291676</c:v>
                </c:pt>
                <c:pt idx="5">
                  <c:v>2295176</c:v>
                </c:pt>
                <c:pt idx="6">
                  <c:v>2276316</c:v>
                </c:pt>
                <c:pt idx="7">
                  <c:v>2270132</c:v>
                </c:pt>
                <c:pt idx="8">
                  <c:v>2283098</c:v>
                </c:pt>
                <c:pt idx="9">
                  <c:v>2352389</c:v>
                </c:pt>
                <c:pt idx="10">
                  <c:v>2362282</c:v>
                </c:pt>
                <c:pt idx="11">
                  <c:v>2363531</c:v>
                </c:pt>
                <c:pt idx="12">
                  <c:v>2403174</c:v>
                </c:pt>
                <c:pt idx="13">
                  <c:v>2441051</c:v>
                </c:pt>
                <c:pt idx="14">
                  <c:v>2536871</c:v>
                </c:pt>
                <c:pt idx="15">
                  <c:v>2621231</c:v>
                </c:pt>
                <c:pt idx="16">
                  <c:v>2709410</c:v>
                </c:pt>
                <c:pt idx="17">
                  <c:v>2754058</c:v>
                </c:pt>
                <c:pt idx="18">
                  <c:v>2768827</c:v>
                </c:pt>
                <c:pt idx="19">
                  <c:v>2777983</c:v>
                </c:pt>
                <c:pt idx="20">
                  <c:v>2780642</c:v>
                </c:pt>
                <c:pt idx="21">
                  <c:v>2809512</c:v>
                </c:pt>
                <c:pt idx="22">
                  <c:v>2867451</c:v>
                </c:pt>
                <c:pt idx="23">
                  <c:v>2871442</c:v>
                </c:pt>
                <c:pt idx="24">
                  <c:v>2906371</c:v>
                </c:pt>
                <c:pt idx="25">
                  <c:v>2938269</c:v>
                </c:pt>
                <c:pt idx="26">
                  <c:v>2960575</c:v>
                </c:pt>
                <c:pt idx="27">
                  <c:v>3011515</c:v>
                </c:pt>
                <c:pt idx="28">
                  <c:v>3067115</c:v>
                </c:pt>
                <c:pt idx="29">
                  <c:v>3089778</c:v>
                </c:pt>
                <c:pt idx="30">
                  <c:v>3054164</c:v>
                </c:pt>
                <c:pt idx="31">
                  <c:v>3057068</c:v>
                </c:pt>
                <c:pt idx="32">
                  <c:v>3035198</c:v>
                </c:pt>
                <c:pt idx="33">
                  <c:v>3064287</c:v>
                </c:pt>
                <c:pt idx="34">
                  <c:v>3098696</c:v>
                </c:pt>
                <c:pt idx="35">
                  <c:v>3092687</c:v>
                </c:pt>
                <c:pt idx="36">
                  <c:v>3132815</c:v>
                </c:pt>
                <c:pt idx="37">
                  <c:v>3180439</c:v>
                </c:pt>
                <c:pt idx="38">
                  <c:v>3233678</c:v>
                </c:pt>
                <c:pt idx="39">
                  <c:v>3325630</c:v>
                </c:pt>
                <c:pt idx="40">
                  <c:v>3334039</c:v>
                </c:pt>
                <c:pt idx="41">
                  <c:v>3349425</c:v>
                </c:pt>
                <c:pt idx="42">
                  <c:v>3305684</c:v>
                </c:pt>
                <c:pt idx="43">
                  <c:v>3303959</c:v>
                </c:pt>
                <c:pt idx="44">
                  <c:v>3289553</c:v>
                </c:pt>
                <c:pt idx="45">
                  <c:v>3347875</c:v>
                </c:pt>
                <c:pt idx="46">
                  <c:v>3343085</c:v>
                </c:pt>
                <c:pt idx="47">
                  <c:v>3469543</c:v>
                </c:pt>
                <c:pt idx="48">
                  <c:v>3413716</c:v>
                </c:pt>
                <c:pt idx="49">
                  <c:v>3440357</c:v>
                </c:pt>
                <c:pt idx="50">
                  <c:v>3482457</c:v>
                </c:pt>
                <c:pt idx="51">
                  <c:v>3564258</c:v>
                </c:pt>
                <c:pt idx="52">
                  <c:v>3585494</c:v>
                </c:pt>
                <c:pt idx="53">
                  <c:v>3679346</c:v>
                </c:pt>
                <c:pt idx="54">
                  <c:v>3647786</c:v>
                </c:pt>
                <c:pt idx="55">
                  <c:v>3414743</c:v>
                </c:pt>
                <c:pt idx="56">
                  <c:v>3407693</c:v>
                </c:pt>
                <c:pt idx="57">
                  <c:v>3406370</c:v>
                </c:pt>
                <c:pt idx="58">
                  <c:v>3456713</c:v>
                </c:pt>
                <c:pt idx="59">
                  <c:v>3469543</c:v>
                </c:pt>
                <c:pt idx="60">
                  <c:v>3515008</c:v>
                </c:pt>
                <c:pt idx="61">
                  <c:v>3551092</c:v>
                </c:pt>
                <c:pt idx="62">
                  <c:v>3621033</c:v>
                </c:pt>
                <c:pt idx="63">
                  <c:v>3678631</c:v>
                </c:pt>
                <c:pt idx="64">
                  <c:v>3673944</c:v>
                </c:pt>
                <c:pt idx="65">
                  <c:v>3679539</c:v>
                </c:pt>
                <c:pt idx="66">
                  <c:v>3647786</c:v>
                </c:pt>
                <c:pt idx="67">
                  <c:v>3620367</c:v>
                </c:pt>
                <c:pt idx="68">
                  <c:v>3588063</c:v>
                </c:pt>
                <c:pt idx="69">
                  <c:v>3620794</c:v>
                </c:pt>
                <c:pt idx="70">
                  <c:v>3648880</c:v>
                </c:pt>
                <c:pt idx="71">
                  <c:v>3661516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A-45D4-A4DF-704E377CEACE}"/>
            </c:ext>
          </c:extLst>
        </c:ser>
        <c:ser>
          <c:idx val="1"/>
          <c:order val="1"/>
          <c:tx>
            <c:strRef>
              <c:f>Sheet2!$C$38</c:f>
              <c:strCache>
                <c:ptCount val="1"/>
                <c:pt idx="0">
                  <c:v>Forecasted Fig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Sheet2!$A$39:$A$110</c:f>
              <c:strCache>
                <c:ptCount val="72"/>
                <c:pt idx="0">
                  <c:v>1.1.2019</c:v>
                </c:pt>
                <c:pt idx="1">
                  <c:v>1.2.2019</c:v>
                </c:pt>
                <c:pt idx="2">
                  <c:v>1.3.2019</c:v>
                </c:pt>
                <c:pt idx="3">
                  <c:v>1.4.2019</c:v>
                </c:pt>
                <c:pt idx="4">
                  <c:v>1.5.2019</c:v>
                </c:pt>
                <c:pt idx="5">
                  <c:v>1.6.2019</c:v>
                </c:pt>
                <c:pt idx="6">
                  <c:v>1.7.2019</c:v>
                </c:pt>
                <c:pt idx="7">
                  <c:v>1.8.2019</c:v>
                </c:pt>
                <c:pt idx="8">
                  <c:v>1.9.2019</c:v>
                </c:pt>
                <c:pt idx="9">
                  <c:v>1.10.2019</c:v>
                </c:pt>
                <c:pt idx="10">
                  <c:v>1.11.2019</c:v>
                </c:pt>
                <c:pt idx="11">
                  <c:v>1.12.2019</c:v>
                </c:pt>
                <c:pt idx="12">
                  <c:v>1.1.2020</c:v>
                </c:pt>
                <c:pt idx="13">
                  <c:v>1.2.2020</c:v>
                </c:pt>
                <c:pt idx="14">
                  <c:v>1.3.2020</c:v>
                </c:pt>
                <c:pt idx="15">
                  <c:v>1.4.2020</c:v>
                </c:pt>
                <c:pt idx="16">
                  <c:v>1.5.2020</c:v>
                </c:pt>
                <c:pt idx="17">
                  <c:v>1.6.2020</c:v>
                </c:pt>
                <c:pt idx="18">
                  <c:v>1.7.2020</c:v>
                </c:pt>
                <c:pt idx="19">
                  <c:v>1.8.2020</c:v>
                </c:pt>
                <c:pt idx="20">
                  <c:v>1.9.2020</c:v>
                </c:pt>
                <c:pt idx="21">
                  <c:v>1.10.2020</c:v>
                </c:pt>
                <c:pt idx="22">
                  <c:v>1.11.2020</c:v>
                </c:pt>
                <c:pt idx="23">
                  <c:v>1.12.2020</c:v>
                </c:pt>
                <c:pt idx="24">
                  <c:v>1.1.2021</c:v>
                </c:pt>
                <c:pt idx="25">
                  <c:v>1.2.2021</c:v>
                </c:pt>
                <c:pt idx="26">
                  <c:v>1.3.2021</c:v>
                </c:pt>
                <c:pt idx="27">
                  <c:v>1.4.2021</c:v>
                </c:pt>
                <c:pt idx="28">
                  <c:v>1.5.2021</c:v>
                </c:pt>
                <c:pt idx="29">
                  <c:v>1.6.2021</c:v>
                </c:pt>
                <c:pt idx="30">
                  <c:v>1.7.2021</c:v>
                </c:pt>
                <c:pt idx="31">
                  <c:v>1.8.2021</c:v>
                </c:pt>
                <c:pt idx="32">
                  <c:v>1.9.2021</c:v>
                </c:pt>
                <c:pt idx="33">
                  <c:v>1.10.2021</c:v>
                </c:pt>
                <c:pt idx="34">
                  <c:v>1.11.2021</c:v>
                </c:pt>
                <c:pt idx="35">
                  <c:v>1.12.2021</c:v>
                </c:pt>
                <c:pt idx="36">
                  <c:v>1.1.2022</c:v>
                </c:pt>
                <c:pt idx="37">
                  <c:v>1.2.2022</c:v>
                </c:pt>
                <c:pt idx="38">
                  <c:v>1.3.2022</c:v>
                </c:pt>
                <c:pt idx="39">
                  <c:v>1.4.2022</c:v>
                </c:pt>
                <c:pt idx="40">
                  <c:v>1.5.2022</c:v>
                </c:pt>
                <c:pt idx="41">
                  <c:v>1.6.2022</c:v>
                </c:pt>
                <c:pt idx="42">
                  <c:v>1.7.2022</c:v>
                </c:pt>
                <c:pt idx="43">
                  <c:v>1.8.2022</c:v>
                </c:pt>
                <c:pt idx="44">
                  <c:v>1.9.2022</c:v>
                </c:pt>
                <c:pt idx="45">
                  <c:v>1.10.2022</c:v>
                </c:pt>
                <c:pt idx="46">
                  <c:v>1.11.2022</c:v>
                </c:pt>
                <c:pt idx="47">
                  <c:v>1.12.2022</c:v>
                </c:pt>
                <c:pt idx="48">
                  <c:v>1.1.2023</c:v>
                </c:pt>
                <c:pt idx="49">
                  <c:v>1.2.2023</c:v>
                </c:pt>
                <c:pt idx="50">
                  <c:v>1.3.2023</c:v>
                </c:pt>
                <c:pt idx="51">
                  <c:v>1.4.2023</c:v>
                </c:pt>
                <c:pt idx="52">
                  <c:v>1.5.2023</c:v>
                </c:pt>
                <c:pt idx="53">
                  <c:v>1.6.2023</c:v>
                </c:pt>
                <c:pt idx="54">
                  <c:v>1.7.2023</c:v>
                </c:pt>
                <c:pt idx="55">
                  <c:v>1.8.2023</c:v>
                </c:pt>
                <c:pt idx="56">
                  <c:v>1.9.2023</c:v>
                </c:pt>
                <c:pt idx="57">
                  <c:v>1.10.2023</c:v>
                </c:pt>
                <c:pt idx="58">
                  <c:v>1.11.2023</c:v>
                </c:pt>
                <c:pt idx="59">
                  <c:v>1.12.2023</c:v>
                </c:pt>
                <c:pt idx="60">
                  <c:v>1.1.2024</c:v>
                </c:pt>
                <c:pt idx="61">
                  <c:v>1.2.2024</c:v>
                </c:pt>
                <c:pt idx="62">
                  <c:v>1.3.2024</c:v>
                </c:pt>
                <c:pt idx="63">
                  <c:v>1.4.2024</c:v>
                </c:pt>
                <c:pt idx="64">
                  <c:v>1.5.2024</c:v>
                </c:pt>
                <c:pt idx="65">
                  <c:v>1.6.2024</c:v>
                </c:pt>
                <c:pt idx="66">
                  <c:v>1.7.2024</c:v>
                </c:pt>
                <c:pt idx="67">
                  <c:v>1.8.2024</c:v>
                </c:pt>
                <c:pt idx="68">
                  <c:v>1.9.2024</c:v>
                </c:pt>
                <c:pt idx="69">
                  <c:v>1.10.2024</c:v>
                </c:pt>
                <c:pt idx="70">
                  <c:v>1.11.2024</c:v>
                </c:pt>
                <c:pt idx="71">
                  <c:v>1.12.2024</c:v>
                </c:pt>
              </c:strCache>
            </c:strRef>
          </c:cat>
          <c:val>
            <c:numRef>
              <c:f>Sheet2!$C$39:$C$110</c:f>
              <c:numCache>
                <c:formatCode>#,##0</c:formatCode>
                <c:ptCount val="72"/>
                <c:pt idx="0">
                  <c:v>2165350</c:v>
                </c:pt>
                <c:pt idx="1">
                  <c:v>2198670</c:v>
                </c:pt>
                <c:pt idx="2">
                  <c:v>2231990</c:v>
                </c:pt>
                <c:pt idx="3">
                  <c:v>2265310</c:v>
                </c:pt>
                <c:pt idx="4">
                  <c:v>2298630</c:v>
                </c:pt>
                <c:pt idx="5">
                  <c:v>2331950</c:v>
                </c:pt>
                <c:pt idx="6">
                  <c:v>2365270</c:v>
                </c:pt>
                <c:pt idx="7">
                  <c:v>2398590</c:v>
                </c:pt>
                <c:pt idx="8">
                  <c:v>2431910</c:v>
                </c:pt>
                <c:pt idx="9">
                  <c:v>2465230</c:v>
                </c:pt>
                <c:pt idx="10">
                  <c:v>2498550</c:v>
                </c:pt>
                <c:pt idx="11">
                  <c:v>2531870</c:v>
                </c:pt>
                <c:pt idx="12">
                  <c:v>2565190</c:v>
                </c:pt>
                <c:pt idx="13">
                  <c:v>2598510</c:v>
                </c:pt>
                <c:pt idx="14">
                  <c:v>2631830</c:v>
                </c:pt>
                <c:pt idx="15">
                  <c:v>2665150</c:v>
                </c:pt>
                <c:pt idx="16">
                  <c:v>2698470</c:v>
                </c:pt>
                <c:pt idx="17">
                  <c:v>2731790</c:v>
                </c:pt>
                <c:pt idx="18">
                  <c:v>2765110</c:v>
                </c:pt>
                <c:pt idx="19">
                  <c:v>2798430</c:v>
                </c:pt>
                <c:pt idx="20">
                  <c:v>2831750</c:v>
                </c:pt>
                <c:pt idx="21">
                  <c:v>2865070</c:v>
                </c:pt>
                <c:pt idx="22">
                  <c:v>2898390</c:v>
                </c:pt>
                <c:pt idx="23">
                  <c:v>2931710</c:v>
                </c:pt>
                <c:pt idx="24">
                  <c:v>2965030</c:v>
                </c:pt>
                <c:pt idx="25">
                  <c:v>2998350</c:v>
                </c:pt>
                <c:pt idx="26">
                  <c:v>3031670</c:v>
                </c:pt>
                <c:pt idx="27">
                  <c:v>3064990</c:v>
                </c:pt>
                <c:pt idx="28">
                  <c:v>3098310</c:v>
                </c:pt>
                <c:pt idx="29">
                  <c:v>3131630</c:v>
                </c:pt>
                <c:pt idx="30">
                  <c:v>3164950</c:v>
                </c:pt>
                <c:pt idx="31">
                  <c:v>3198270</c:v>
                </c:pt>
                <c:pt idx="32">
                  <c:v>3231590</c:v>
                </c:pt>
                <c:pt idx="33">
                  <c:v>3264910</c:v>
                </c:pt>
                <c:pt idx="34">
                  <c:v>3298230</c:v>
                </c:pt>
                <c:pt idx="35">
                  <c:v>3331550</c:v>
                </c:pt>
                <c:pt idx="36">
                  <c:v>3364870</c:v>
                </c:pt>
                <c:pt idx="37">
                  <c:v>3398190</c:v>
                </c:pt>
                <c:pt idx="38">
                  <c:v>3431510</c:v>
                </c:pt>
                <c:pt idx="39">
                  <c:v>3464830</c:v>
                </c:pt>
                <c:pt idx="40">
                  <c:v>3498150</c:v>
                </c:pt>
                <c:pt idx="41">
                  <c:v>3531470</c:v>
                </c:pt>
                <c:pt idx="42">
                  <c:v>3564790</c:v>
                </c:pt>
                <c:pt idx="43">
                  <c:v>3598110</c:v>
                </c:pt>
                <c:pt idx="44">
                  <c:v>3631430</c:v>
                </c:pt>
                <c:pt idx="45">
                  <c:v>3664750</c:v>
                </c:pt>
                <c:pt idx="46">
                  <c:v>3698070</c:v>
                </c:pt>
                <c:pt idx="47">
                  <c:v>3731390</c:v>
                </c:pt>
                <c:pt idx="48">
                  <c:v>3764710</c:v>
                </c:pt>
                <c:pt idx="49">
                  <c:v>3798030</c:v>
                </c:pt>
                <c:pt idx="50">
                  <c:v>3831350</c:v>
                </c:pt>
                <c:pt idx="51">
                  <c:v>3864670</c:v>
                </c:pt>
                <c:pt idx="52">
                  <c:v>3897990</c:v>
                </c:pt>
                <c:pt idx="53">
                  <c:v>3931310</c:v>
                </c:pt>
                <c:pt idx="54">
                  <c:v>3964630</c:v>
                </c:pt>
                <c:pt idx="55">
                  <c:v>3997950</c:v>
                </c:pt>
                <c:pt idx="56">
                  <c:v>4031270</c:v>
                </c:pt>
                <c:pt idx="57">
                  <c:v>4064590</c:v>
                </c:pt>
                <c:pt idx="58">
                  <c:v>4097910</c:v>
                </c:pt>
                <c:pt idx="59">
                  <c:v>4131230</c:v>
                </c:pt>
                <c:pt idx="60">
                  <c:v>4164550</c:v>
                </c:pt>
                <c:pt idx="61">
                  <c:v>4197870</c:v>
                </c:pt>
                <c:pt idx="62">
                  <c:v>4231190</c:v>
                </c:pt>
                <c:pt idx="63">
                  <c:v>4264510</c:v>
                </c:pt>
                <c:pt idx="64">
                  <c:v>4297830</c:v>
                </c:pt>
                <c:pt idx="65">
                  <c:v>4331150</c:v>
                </c:pt>
                <c:pt idx="66">
                  <c:v>4364470</c:v>
                </c:pt>
                <c:pt idx="67">
                  <c:v>4397790</c:v>
                </c:pt>
                <c:pt idx="68">
                  <c:v>4431110</c:v>
                </c:pt>
                <c:pt idx="69">
                  <c:v>4464430</c:v>
                </c:pt>
                <c:pt idx="70">
                  <c:v>4497750</c:v>
                </c:pt>
                <c:pt idx="71">
                  <c:v>4531070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A-45D4-A4DF-704E377CE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427328"/>
        <c:axId val="1285432128"/>
      </c:lineChart>
      <c:catAx>
        <c:axId val="128542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32128"/>
        <c:crosses val="autoZero"/>
        <c:auto val="1"/>
        <c:lblAlgn val="ctr"/>
        <c:lblOffset val="100"/>
        <c:noMultiLvlLbl val="0"/>
      </c:catAx>
      <c:valAx>
        <c:axId val="12854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2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473284</xdr:colOff>
      <xdr:row>24</xdr:row>
      <xdr:rowOff>136815</xdr:rowOff>
    </xdr:from>
    <xdr:to>
      <xdr:col>20</xdr:col>
      <xdr:colOff>167046</xdr:colOff>
      <xdr:row>40</xdr:row>
      <xdr:rowOff>23037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1C87D-E859-8C9D-0325-0B2092BB9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583718</xdr:colOff>
      <xdr:row>25</xdr:row>
      <xdr:rowOff>138112</xdr:rowOff>
    </xdr:from>
    <xdr:to>
      <xdr:col>29</xdr:col>
      <xdr:colOff>223565</xdr:colOff>
      <xdr:row>40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E520BA-B591-B0DE-B08D-25B17BE4D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470228</xdr:colOff>
      <xdr:row>37</xdr:row>
      <xdr:rowOff>166246</xdr:rowOff>
    </xdr:from>
    <xdr:to>
      <xdr:col>12</xdr:col>
      <xdr:colOff>217816</xdr:colOff>
      <xdr:row>52</xdr:row>
      <xdr:rowOff>54161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90F29B-88AE-9DAF-413B-EA584AC88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452437</xdr:colOff>
      <xdr:row>45</xdr:row>
      <xdr:rowOff>187554</xdr:rowOff>
    </xdr:from>
    <xdr:to>
      <xdr:col>13</xdr:col>
      <xdr:colOff>556759</xdr:colOff>
      <xdr:row>60</xdr:row>
      <xdr:rowOff>39236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7EE224-E96F-13C9-57C6-CD6A03865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43</xdr:row>
      <xdr:rowOff>180214</xdr:rowOff>
    </xdr:from>
    <xdr:to>
      <xdr:col>5</xdr:col>
      <xdr:colOff>455839</xdr:colOff>
      <xdr:row>58</xdr:row>
      <xdr:rowOff>36379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CC3FAA-38FA-4AB7-F73E-29019A224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156443</xdr:colOff>
      <xdr:row>47</xdr:row>
      <xdr:rowOff>132787</xdr:rowOff>
    </xdr:from>
    <xdr:to>
      <xdr:col>4</xdr:col>
      <xdr:colOff>656568</xdr:colOff>
      <xdr:row>61</xdr:row>
      <xdr:rowOff>177237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75C405-0DDE-3C0B-288E-A38BA0A9F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390072</xdr:colOff>
      <xdr:row>45</xdr:row>
      <xdr:rowOff>193543</xdr:rowOff>
    </xdr:from>
    <xdr:to>
      <xdr:col>22</xdr:col>
      <xdr:colOff>63500</xdr:colOff>
      <xdr:row>59</xdr:row>
      <xdr:rowOff>176590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44D797-D111-6853-2F8D-DC907DAC2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39872</xdr:colOff>
      <xdr:row>32</xdr:row>
      <xdr:rowOff>166157</xdr:rowOff>
    </xdr:from>
    <xdr:to>
      <xdr:col>10</xdr:col>
      <xdr:colOff>104110</xdr:colOff>
      <xdr:row>47</xdr:row>
      <xdr:rowOff>85084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81A58F-3803-4EDA-3061-7A15985B3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848385</xdr:colOff>
      <xdr:row>34</xdr:row>
      <xdr:rowOff>132933</xdr:rowOff>
    </xdr:from>
    <xdr:to>
      <xdr:col>5</xdr:col>
      <xdr:colOff>447449</xdr:colOff>
      <xdr:row>49</xdr:row>
      <xdr:rowOff>51859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6E7A1E-2990-CE13-819A-0D1CA82AF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109537</xdr:colOff>
      <xdr:row>114</xdr:row>
      <xdr:rowOff>138112</xdr:rowOff>
    </xdr:from>
    <xdr:to>
      <xdr:col>18</xdr:col>
      <xdr:colOff>414337</xdr:colOff>
      <xdr:row>129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EB829F-81BF-96C5-466D-2A52035FB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161925</xdr:colOff>
      <xdr:row>118</xdr:row>
      <xdr:rowOff>80962</xdr:rowOff>
    </xdr:from>
    <xdr:to>
      <xdr:col>10</xdr:col>
      <xdr:colOff>190500</xdr:colOff>
      <xdr:row>132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63E9B-4C32-EF08-381A-D6353AA9E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182806</xdr:colOff>
      <xdr:row>48</xdr:row>
      <xdr:rowOff>469289</xdr:rowOff>
    </xdr:from>
    <xdr:to>
      <xdr:col>23</xdr:col>
      <xdr:colOff>165222</xdr:colOff>
      <xdr:row>54</xdr:row>
      <xdr:rowOff>27475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7E2736-35D0-3E12-276B-F4851B03E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7AE1-C28C-4121-B52F-69F435B03390}">
  <dimension ref="A1:W28"/>
  <sheetViews>
    <sheetView tabSelected="1" zoomScale="86" zoomScaleNormal="100" workbookViewId="0">
      <pane ySplit="1" topLeftCell="A25" activePane="bottomLeft" state="frozen"/>
      <selection pane="bottomLeft" activeCellId="1" sqref="A28:K28 A1:K1"/>
    </sheetView>
  </sheetViews>
  <sheetFormatPr defaultRowHeight="15" x14ac:dyDescent="0.25"/>
  <cols>
    <col min="1" max="1" width="22" customWidth="1"/>
    <col min="2" max="2" width="11.28515625" bestFit="1" customWidth="1"/>
    <col min="3" max="6" width="13.7109375" bestFit="1" customWidth="1"/>
    <col min="7" max="7" width="12.7109375" bestFit="1" customWidth="1"/>
    <col min="8" max="8" width="13.7109375" bestFit="1" customWidth="1"/>
    <col min="9" max="9" width="15" customWidth="1"/>
    <col min="10" max="11" width="12.28515625" bestFit="1" customWidth="1"/>
    <col min="13" max="13" width="17.42578125" customWidth="1"/>
  </cols>
  <sheetData>
    <row r="1" spans="1:23" x14ac:dyDescent="0.25">
      <c r="A1" s="2" t="s">
        <v>139</v>
      </c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M1" s="2" t="s">
        <v>139</v>
      </c>
      <c r="N1">
        <v>2025</v>
      </c>
      <c r="O1">
        <v>2024</v>
      </c>
      <c r="P1">
        <v>2023</v>
      </c>
      <c r="Q1">
        <v>2022</v>
      </c>
      <c r="R1">
        <v>2021</v>
      </c>
      <c r="S1">
        <v>2020</v>
      </c>
      <c r="T1">
        <v>2019</v>
      </c>
      <c r="U1">
        <v>2018</v>
      </c>
      <c r="V1">
        <v>2017</v>
      </c>
      <c r="W1">
        <v>2016</v>
      </c>
    </row>
    <row r="2" spans="1:23" ht="38.25" x14ac:dyDescent="0.25">
      <c r="A2" s="1" t="s">
        <v>0</v>
      </c>
      <c r="B2" s="3">
        <v>3630751</v>
      </c>
      <c r="C2" s="6">
        <v>3410276</v>
      </c>
      <c r="D2" s="3">
        <v>3276436</v>
      </c>
      <c r="E2" s="3">
        <v>3035689</v>
      </c>
      <c r="F2" s="3">
        <v>2751828</v>
      </c>
      <c r="G2" s="3">
        <v>2349748</v>
      </c>
      <c r="H2" s="3">
        <v>2052209</v>
      </c>
      <c r="I2" s="3">
        <v>1759710</v>
      </c>
      <c r="J2" s="3">
        <v>1264120</v>
      </c>
      <c r="K2" s="31">
        <v>1597250</v>
      </c>
      <c r="M2" s="1" t="s">
        <v>0</v>
      </c>
      <c r="N2">
        <f>(B2-C2)/C2</f>
        <v>6.4650192535736117E-2</v>
      </c>
      <c r="O2">
        <f t="shared" ref="O2:W2" si="0">(C2-D2)/D2</f>
        <v>4.0849264261532958E-2</v>
      </c>
      <c r="P2">
        <f t="shared" si="0"/>
        <v>7.9305554686267266E-2</v>
      </c>
      <c r="Q2">
        <f t="shared" si="0"/>
        <v>0.10315361279847432</v>
      </c>
      <c r="R2">
        <f t="shared" si="0"/>
        <v>0.1711162218246382</v>
      </c>
      <c r="S2">
        <f t="shared" si="0"/>
        <v>0.14498474570572489</v>
      </c>
      <c r="T2">
        <f t="shared" si="0"/>
        <v>0.16622000215944674</v>
      </c>
      <c r="U2">
        <f t="shared" si="0"/>
        <v>0.39204347688510582</v>
      </c>
      <c r="V2">
        <f t="shared" si="0"/>
        <v>-0.20856472061355455</v>
      </c>
      <c r="W2" t="e">
        <f t="shared" si="0"/>
        <v>#DIV/0!</v>
      </c>
    </row>
    <row r="3" spans="1:23" x14ac:dyDescent="0.25">
      <c r="A3" s="1"/>
      <c r="B3" s="3"/>
      <c r="C3" s="6"/>
      <c r="D3" s="3"/>
      <c r="E3" s="3"/>
      <c r="F3" s="3"/>
      <c r="G3" s="3"/>
      <c r="H3" s="3"/>
      <c r="I3" s="3"/>
      <c r="J3" s="3"/>
      <c r="K3" s="31"/>
      <c r="M3" s="1" t="s">
        <v>152</v>
      </c>
      <c r="N3">
        <v>0.08</v>
      </c>
      <c r="O3">
        <v>0.08</v>
      </c>
      <c r="P3">
        <v>0.08</v>
      </c>
      <c r="Q3">
        <v>0.08</v>
      </c>
      <c r="R3">
        <v>0.08</v>
      </c>
      <c r="S3">
        <v>0.08</v>
      </c>
      <c r="T3">
        <v>0.08</v>
      </c>
      <c r="U3">
        <v>0.08</v>
      </c>
      <c r="V3">
        <v>0.08</v>
      </c>
    </row>
    <row r="4" spans="1:23" ht="51" x14ac:dyDescent="0.25">
      <c r="A4" s="1" t="s">
        <v>1</v>
      </c>
      <c r="B4" s="3">
        <v>3686799</v>
      </c>
      <c r="C4" s="6">
        <v>3477795</v>
      </c>
      <c r="D4" s="3">
        <v>3348219</v>
      </c>
      <c r="E4" s="3">
        <v>3105703</v>
      </c>
      <c r="F4" s="3">
        <v>2826851</v>
      </c>
      <c r="G4" s="3">
        <v>2420964</v>
      </c>
      <c r="H4" s="3">
        <v>2110883</v>
      </c>
      <c r="I4" s="3">
        <v>1803700</v>
      </c>
      <c r="J4" s="3">
        <v>1310180</v>
      </c>
      <c r="K4" s="31">
        <v>1641560</v>
      </c>
      <c r="M4" s="1" t="s">
        <v>1</v>
      </c>
      <c r="N4">
        <f t="shared" ref="N4:N19" si="1">(B4-C4)/C4</f>
        <v>6.0096699201649319E-2</v>
      </c>
      <c r="O4">
        <f t="shared" ref="O4:O19" si="2">(C4-D4)/D4</f>
        <v>3.8699977510431666E-2</v>
      </c>
      <c r="P4">
        <f t="shared" ref="P4:P19" si="3">(D4-E4)/E4</f>
        <v>7.808731227680174E-2</v>
      </c>
      <c r="Q4">
        <f t="shared" ref="Q4:Q19" si="4">(E4-F4)/F4</f>
        <v>9.8644038896991734E-2</v>
      </c>
      <c r="R4">
        <f t="shared" ref="R4:R19" si="5">(F4-G4)/G4</f>
        <v>0.16765511589598192</v>
      </c>
      <c r="S4">
        <f t="shared" ref="S4:S19" si="6">(G4-H4)/H4</f>
        <v>0.14689634622098904</v>
      </c>
      <c r="T4">
        <f t="shared" ref="T4:T19" si="7">(H4-I4)/I4</f>
        <v>0.17030714642124523</v>
      </c>
      <c r="U4">
        <f t="shared" ref="U4:U19" si="8">(I4-J4)/J4</f>
        <v>0.37668106672365631</v>
      </c>
      <c r="V4">
        <f t="shared" ref="V4:V19" si="9">(J4-K4)/K4</f>
        <v>-0.2018689539218792</v>
      </c>
      <c r="W4" t="e">
        <f t="shared" ref="W4:W19" si="10">(K4-L4)/L4</f>
        <v>#DIV/0!</v>
      </c>
    </row>
    <row r="5" spans="1:23" ht="63.75" x14ac:dyDescent="0.25">
      <c r="A5" s="1" t="s">
        <v>2</v>
      </c>
      <c r="B5" s="3">
        <v>35889</v>
      </c>
      <c r="C5" s="6">
        <v>32689</v>
      </c>
      <c r="D5" s="3">
        <v>29542</v>
      </c>
      <c r="E5" s="3">
        <v>27270</v>
      </c>
      <c r="F5" s="3">
        <v>26170</v>
      </c>
      <c r="G5" s="3">
        <v>25605</v>
      </c>
      <c r="H5" s="3">
        <v>25144</v>
      </c>
      <c r="I5" s="3">
        <v>24910</v>
      </c>
      <c r="J5" s="3">
        <v>24340</v>
      </c>
      <c r="K5" s="31">
        <v>21160</v>
      </c>
      <c r="M5" s="1" t="s">
        <v>2</v>
      </c>
      <c r="N5">
        <f t="shared" si="1"/>
        <v>9.7892257334271468E-2</v>
      </c>
      <c r="O5">
        <f t="shared" si="2"/>
        <v>0.10652630153679507</v>
      </c>
      <c r="P5">
        <f t="shared" si="3"/>
        <v>8.3314998166483314E-2</v>
      </c>
      <c r="Q5">
        <f t="shared" si="4"/>
        <v>4.2032862055789072E-2</v>
      </c>
      <c r="R5">
        <f t="shared" si="5"/>
        <v>2.2066002733841048E-2</v>
      </c>
      <c r="S5">
        <f t="shared" si="6"/>
        <v>1.8334393891186764E-2</v>
      </c>
      <c r="T5">
        <f t="shared" si="7"/>
        <v>9.3938177438779615E-3</v>
      </c>
      <c r="U5">
        <f t="shared" si="8"/>
        <v>2.3418241577649958E-2</v>
      </c>
      <c r="V5">
        <f t="shared" si="9"/>
        <v>0.15028355387523629</v>
      </c>
      <c r="W5" t="e">
        <f t="shared" si="10"/>
        <v>#DIV/0!</v>
      </c>
    </row>
    <row r="6" spans="1:23" ht="63.75" x14ac:dyDescent="0.25">
      <c r="A6" s="1" t="s">
        <v>3</v>
      </c>
      <c r="B6" s="3">
        <v>743</v>
      </c>
      <c r="C6" s="6">
        <v>743</v>
      </c>
      <c r="D6" s="3">
        <v>743</v>
      </c>
      <c r="E6" s="3">
        <v>743</v>
      </c>
      <c r="F6" s="3">
        <v>743</v>
      </c>
      <c r="G6" s="3">
        <v>743</v>
      </c>
      <c r="H6" s="3">
        <v>743</v>
      </c>
      <c r="I6" s="3">
        <v>740</v>
      </c>
      <c r="J6" s="3">
        <v>740</v>
      </c>
      <c r="K6" s="31">
        <v>740</v>
      </c>
      <c r="M6" s="1" t="s">
        <v>3</v>
      </c>
      <c r="N6">
        <f t="shared" si="1"/>
        <v>0</v>
      </c>
      <c r="O6">
        <f t="shared" si="2"/>
        <v>0</v>
      </c>
      <c r="P6">
        <f t="shared" si="3"/>
        <v>0</v>
      </c>
      <c r="Q6">
        <f t="shared" si="4"/>
        <v>0</v>
      </c>
      <c r="R6">
        <f t="shared" si="5"/>
        <v>0</v>
      </c>
      <c r="S6">
        <f t="shared" si="6"/>
        <v>0</v>
      </c>
      <c r="T6">
        <f t="shared" si="7"/>
        <v>4.0540540540540543E-3</v>
      </c>
      <c r="U6">
        <f t="shared" si="8"/>
        <v>0</v>
      </c>
      <c r="V6">
        <f t="shared" si="9"/>
        <v>0</v>
      </c>
      <c r="W6" t="e">
        <f t="shared" si="10"/>
        <v>#DIV/0!</v>
      </c>
    </row>
    <row r="7" spans="1:23" ht="51" x14ac:dyDescent="0.25">
      <c r="A7" s="1" t="s">
        <v>4</v>
      </c>
      <c r="B7" s="3">
        <v>93696</v>
      </c>
      <c r="C7" s="6">
        <v>101185</v>
      </c>
      <c r="D7" s="3">
        <v>102085</v>
      </c>
      <c r="E7" s="3">
        <v>98028</v>
      </c>
      <c r="F7" s="3">
        <v>101935</v>
      </c>
      <c r="G7" s="3">
        <v>97563</v>
      </c>
      <c r="H7" s="3">
        <v>84561</v>
      </c>
      <c r="I7" s="3">
        <v>69640</v>
      </c>
      <c r="J7" s="3">
        <v>71140</v>
      </c>
      <c r="K7" s="31">
        <v>66210</v>
      </c>
      <c r="M7" s="1" t="s">
        <v>4</v>
      </c>
      <c r="N7">
        <f t="shared" si="1"/>
        <v>-7.4012946582991554E-2</v>
      </c>
      <c r="O7">
        <f t="shared" si="2"/>
        <v>-8.8161825929372589E-3</v>
      </c>
      <c r="P7">
        <f t="shared" si="3"/>
        <v>4.1386134573795245E-2</v>
      </c>
      <c r="Q7">
        <f t="shared" si="4"/>
        <v>-3.8328346495315642E-2</v>
      </c>
      <c r="R7">
        <f t="shared" si="5"/>
        <v>4.48120701495444E-2</v>
      </c>
      <c r="S7">
        <f t="shared" si="6"/>
        <v>0.15375882499024374</v>
      </c>
      <c r="T7">
        <f t="shared" si="7"/>
        <v>0.21425904652498565</v>
      </c>
      <c r="U7">
        <f t="shared" si="8"/>
        <v>-2.1085184143941525E-2</v>
      </c>
      <c r="V7">
        <f t="shared" si="9"/>
        <v>7.4460051351759551E-2</v>
      </c>
      <c r="W7" t="e">
        <f t="shared" si="10"/>
        <v>#DIV/0!</v>
      </c>
    </row>
    <row r="8" spans="1:23" ht="25.5" x14ac:dyDescent="0.25">
      <c r="A8" s="1" t="s">
        <v>144</v>
      </c>
      <c r="B8" s="3">
        <f>B4+B5+B6+B7</f>
        <v>3817127</v>
      </c>
      <c r="C8" s="3">
        <f t="shared" ref="C8:K8" si="11">C4+C5+C6+C7</f>
        <v>3612412</v>
      </c>
      <c r="D8" s="3">
        <f t="shared" si="11"/>
        <v>3480589</v>
      </c>
      <c r="E8" s="3">
        <f t="shared" si="11"/>
        <v>3231744</v>
      </c>
      <c r="F8" s="3">
        <f t="shared" si="11"/>
        <v>2955699</v>
      </c>
      <c r="G8" s="3">
        <f t="shared" si="11"/>
        <v>2544875</v>
      </c>
      <c r="H8" s="3">
        <f t="shared" si="11"/>
        <v>2221331</v>
      </c>
      <c r="I8" s="3">
        <f>I4+I5+I6+I7</f>
        <v>1898990</v>
      </c>
      <c r="J8" s="3">
        <f t="shared" si="11"/>
        <v>1406400</v>
      </c>
      <c r="K8" s="3">
        <f t="shared" si="11"/>
        <v>1729670</v>
      </c>
      <c r="M8" s="1" t="s">
        <v>144</v>
      </c>
      <c r="N8">
        <f t="shared" si="1"/>
        <v>5.6669892581466347E-2</v>
      </c>
      <c r="O8">
        <f t="shared" si="2"/>
        <v>3.787376217071306E-2</v>
      </c>
      <c r="P8">
        <f t="shared" si="3"/>
        <v>7.7000220314480353E-2</v>
      </c>
      <c r="Q8">
        <f t="shared" si="4"/>
        <v>9.3394151434229258E-2</v>
      </c>
      <c r="R8">
        <f t="shared" si="5"/>
        <v>0.16143189744093522</v>
      </c>
      <c r="S8">
        <f t="shared" si="6"/>
        <v>0.14565321422156355</v>
      </c>
      <c r="T8">
        <f t="shared" si="7"/>
        <v>0.16974338990726651</v>
      </c>
      <c r="U8">
        <f t="shared" si="8"/>
        <v>0.35024886234357222</v>
      </c>
      <c r="V8">
        <f t="shared" si="9"/>
        <v>-0.18689692253435627</v>
      </c>
      <c r="W8" t="e">
        <f t="shared" si="10"/>
        <v>#DIV/0!</v>
      </c>
    </row>
    <row r="9" spans="1:23" ht="51" x14ac:dyDescent="0.25">
      <c r="A9" s="1" t="s">
        <v>5</v>
      </c>
      <c r="B9" s="3">
        <v>2953329</v>
      </c>
      <c r="C9" s="6">
        <v>2681424</v>
      </c>
      <c r="D9" s="3">
        <v>2398359</v>
      </c>
      <c r="E9" s="3">
        <v>2271436</v>
      </c>
      <c r="F9" s="3">
        <v>2042471</v>
      </c>
      <c r="G9" s="3">
        <v>1776200</v>
      </c>
      <c r="H9" s="3">
        <v>1658254</v>
      </c>
      <c r="I9" s="3">
        <v>1507620</v>
      </c>
      <c r="J9" s="3">
        <v>1417830</v>
      </c>
      <c r="K9" s="31">
        <v>1005280</v>
      </c>
      <c r="M9" s="1" t="s">
        <v>5</v>
      </c>
      <c r="N9">
        <f t="shared" si="1"/>
        <v>0.10140320963786406</v>
      </c>
      <c r="O9">
        <f t="shared" si="2"/>
        <v>0.11802444921715223</v>
      </c>
      <c r="P9">
        <f t="shared" si="3"/>
        <v>5.587786756923814E-2</v>
      </c>
      <c r="Q9">
        <f t="shared" si="4"/>
        <v>0.11210195885278175</v>
      </c>
      <c r="R9">
        <f t="shared" si="5"/>
        <v>0.14991048305371016</v>
      </c>
      <c r="S9">
        <f t="shared" si="6"/>
        <v>7.1126618720654372E-2</v>
      </c>
      <c r="T9">
        <f t="shared" si="7"/>
        <v>9.9915097968984221E-2</v>
      </c>
      <c r="U9">
        <f t="shared" si="8"/>
        <v>6.332917204460338E-2</v>
      </c>
      <c r="V9">
        <f t="shared" si="9"/>
        <v>0.41038317682635683</v>
      </c>
      <c r="W9" t="e">
        <f t="shared" si="10"/>
        <v>#DIV/0!</v>
      </c>
    </row>
    <row r="10" spans="1:23" ht="63.75" x14ac:dyDescent="0.25">
      <c r="A10" s="1" t="s">
        <v>6</v>
      </c>
      <c r="B10" s="3">
        <v>2840023</v>
      </c>
      <c r="C10" s="6">
        <v>2586888</v>
      </c>
      <c r="D10" s="3">
        <v>2320598</v>
      </c>
      <c r="E10" s="3">
        <v>2212992</v>
      </c>
      <c r="F10" s="3">
        <v>1995120</v>
      </c>
      <c r="G10" s="3">
        <v>1737692</v>
      </c>
      <c r="H10" s="3">
        <v>1626512</v>
      </c>
      <c r="I10" s="3">
        <v>1483710</v>
      </c>
      <c r="J10" s="3">
        <v>1396740</v>
      </c>
      <c r="K10" s="31">
        <v>989830</v>
      </c>
      <c r="M10" s="1" t="s">
        <v>6</v>
      </c>
      <c r="N10">
        <f t="shared" si="1"/>
        <v>9.7853096075284279E-2</v>
      </c>
      <c r="O10">
        <f t="shared" si="2"/>
        <v>0.11475059445884207</v>
      </c>
      <c r="P10">
        <f t="shared" si="3"/>
        <v>4.8624667418589854E-2</v>
      </c>
      <c r="Q10">
        <f t="shared" si="4"/>
        <v>0.10920245398773006</v>
      </c>
      <c r="R10">
        <f t="shared" si="5"/>
        <v>0.14814362959603888</v>
      </c>
      <c r="S10">
        <f t="shared" si="6"/>
        <v>6.8354859970292253E-2</v>
      </c>
      <c r="T10">
        <f t="shared" si="7"/>
        <v>9.6246571095429695E-2</v>
      </c>
      <c r="U10">
        <f t="shared" si="8"/>
        <v>6.2266420378882255E-2</v>
      </c>
      <c r="V10">
        <f t="shared" si="9"/>
        <v>0.41109079336855825</v>
      </c>
      <c r="W10" t="e">
        <f t="shared" si="10"/>
        <v>#DIV/0!</v>
      </c>
    </row>
    <row r="11" spans="1:23" ht="76.5" x14ac:dyDescent="0.25">
      <c r="A11" s="1" t="s">
        <v>7</v>
      </c>
      <c r="B11" s="3">
        <v>113307</v>
      </c>
      <c r="C11" s="6">
        <v>94536</v>
      </c>
      <c r="D11" s="3">
        <v>77761</v>
      </c>
      <c r="E11" s="3">
        <v>58444</v>
      </c>
      <c r="F11" s="3">
        <v>47351</v>
      </c>
      <c r="G11" s="3">
        <v>38507</v>
      </c>
      <c r="H11" s="3">
        <v>31742</v>
      </c>
      <c r="I11" s="3">
        <v>23910</v>
      </c>
      <c r="J11" s="3">
        <v>21009</v>
      </c>
      <c r="K11" s="31">
        <v>15450</v>
      </c>
      <c r="M11" s="1" t="s">
        <v>7</v>
      </c>
      <c r="N11">
        <f t="shared" si="1"/>
        <v>0.19855927900482356</v>
      </c>
      <c r="O11">
        <f t="shared" si="2"/>
        <v>0.21572510641581255</v>
      </c>
      <c r="P11">
        <f t="shared" si="3"/>
        <v>0.33052152487851616</v>
      </c>
      <c r="Q11">
        <f t="shared" si="4"/>
        <v>0.23427171548647335</v>
      </c>
      <c r="R11">
        <f t="shared" si="5"/>
        <v>0.2296725270729997</v>
      </c>
      <c r="S11">
        <f t="shared" si="6"/>
        <v>0.21312456681998615</v>
      </c>
      <c r="T11">
        <f t="shared" si="7"/>
        <v>0.32756168966959431</v>
      </c>
      <c r="U11">
        <f t="shared" si="8"/>
        <v>0.13808367842353278</v>
      </c>
      <c r="V11">
        <f t="shared" si="9"/>
        <v>0.35980582524271842</v>
      </c>
      <c r="W11" t="e">
        <f t="shared" si="10"/>
        <v>#DIV/0!</v>
      </c>
    </row>
    <row r="12" spans="1:23" ht="25.5" x14ac:dyDescent="0.25">
      <c r="A12" s="1" t="s">
        <v>8</v>
      </c>
      <c r="B12" s="3">
        <v>6584081</v>
      </c>
      <c r="C12" s="6">
        <v>6091700</v>
      </c>
      <c r="D12" s="3">
        <v>5674795</v>
      </c>
      <c r="E12" s="3">
        <v>5307125</v>
      </c>
      <c r="F12" s="3">
        <v>4794299</v>
      </c>
      <c r="G12" s="3">
        <v>4125948</v>
      </c>
      <c r="H12" s="3">
        <v>3710464</v>
      </c>
      <c r="I12" s="3">
        <v>3267330</v>
      </c>
      <c r="J12" s="3">
        <v>2681960</v>
      </c>
      <c r="K12" s="31">
        <v>2602540</v>
      </c>
      <c r="M12" s="1" t="s">
        <v>8</v>
      </c>
      <c r="N12">
        <f t="shared" si="1"/>
        <v>8.0828176042812352E-2</v>
      </c>
      <c r="O12">
        <f t="shared" si="2"/>
        <v>7.3466089964483297E-2</v>
      </c>
      <c r="P12">
        <f t="shared" si="3"/>
        <v>6.9278564194361347E-2</v>
      </c>
      <c r="Q12">
        <f t="shared" si="4"/>
        <v>0.10696579416511152</v>
      </c>
      <c r="R12">
        <f t="shared" si="5"/>
        <v>0.16198725723155019</v>
      </c>
      <c r="S12">
        <f t="shared" si="6"/>
        <v>0.11197629191389541</v>
      </c>
      <c r="T12">
        <f t="shared" si="7"/>
        <v>0.13562572498033562</v>
      </c>
      <c r="U12">
        <f t="shared" si="8"/>
        <v>0.21826201733060896</v>
      </c>
      <c r="V12">
        <f t="shared" si="9"/>
        <v>3.0516341727696787E-2</v>
      </c>
      <c r="W12" t="e">
        <f t="shared" si="10"/>
        <v>#DIV/0!</v>
      </c>
    </row>
    <row r="13" spans="1:23" ht="63.75" x14ac:dyDescent="0.25">
      <c r="A13" s="1" t="s">
        <v>9</v>
      </c>
      <c r="B13" s="3">
        <v>201999</v>
      </c>
      <c r="C13" s="6">
        <v>195777</v>
      </c>
      <c r="D13" s="3">
        <v>209705</v>
      </c>
      <c r="E13" s="3">
        <v>188433</v>
      </c>
      <c r="F13" s="3">
        <v>170025</v>
      </c>
      <c r="G13" s="3">
        <v>150963</v>
      </c>
      <c r="H13" s="3">
        <v>140599</v>
      </c>
      <c r="I13" s="3">
        <v>109210</v>
      </c>
      <c r="J13" s="3">
        <v>92060</v>
      </c>
      <c r="K13" s="31">
        <v>61570</v>
      </c>
      <c r="M13" s="1" t="s">
        <v>9</v>
      </c>
      <c r="N13">
        <f t="shared" si="1"/>
        <v>3.1781057018955242E-2</v>
      </c>
      <c r="O13">
        <f t="shared" si="2"/>
        <v>-6.6417109749409883E-2</v>
      </c>
      <c r="P13">
        <f t="shared" si="3"/>
        <v>0.11288893134429744</v>
      </c>
      <c r="Q13">
        <f t="shared" si="4"/>
        <v>0.10826643140714601</v>
      </c>
      <c r="R13">
        <f t="shared" si="5"/>
        <v>0.126269350768069</v>
      </c>
      <c r="S13">
        <f t="shared" si="6"/>
        <v>7.3713184304298032E-2</v>
      </c>
      <c r="T13">
        <f t="shared" si="7"/>
        <v>0.28741873454811828</v>
      </c>
      <c r="U13">
        <f t="shared" si="8"/>
        <v>0.18629154898978928</v>
      </c>
      <c r="V13">
        <f t="shared" si="9"/>
        <v>0.49520870553841156</v>
      </c>
      <c r="W13" t="e">
        <f t="shared" si="10"/>
        <v>#DIV/0!</v>
      </c>
    </row>
    <row r="14" spans="1:23" ht="25.5" x14ac:dyDescent="0.25">
      <c r="A14" s="1" t="s">
        <v>10</v>
      </c>
      <c r="B14" s="3">
        <v>6786080</v>
      </c>
      <c r="C14" s="6">
        <v>6287477</v>
      </c>
      <c r="D14" s="3">
        <v>5884500</v>
      </c>
      <c r="E14" s="3">
        <v>5495558</v>
      </c>
      <c r="F14" s="3">
        <v>4964324</v>
      </c>
      <c r="G14" s="3">
        <v>4276911</v>
      </c>
      <c r="H14" s="3">
        <v>3851063</v>
      </c>
      <c r="I14" s="3">
        <v>3376540</v>
      </c>
      <c r="J14" s="3">
        <v>2774020</v>
      </c>
      <c r="K14" s="31">
        <v>2664110</v>
      </c>
      <c r="M14" s="1" t="s">
        <v>10</v>
      </c>
      <c r="N14">
        <f t="shared" si="1"/>
        <v>7.9300966031366799E-2</v>
      </c>
      <c r="O14">
        <f t="shared" si="2"/>
        <v>6.8481094400543799E-2</v>
      </c>
      <c r="P14">
        <f t="shared" si="3"/>
        <v>7.0773886837332989E-2</v>
      </c>
      <c r="Q14">
        <f t="shared" si="4"/>
        <v>0.10701034017924696</v>
      </c>
      <c r="R14">
        <f t="shared" si="5"/>
        <v>0.1607265150011305</v>
      </c>
      <c r="S14">
        <f t="shared" si="6"/>
        <v>0.11057933874361442</v>
      </c>
      <c r="T14">
        <f t="shared" si="7"/>
        <v>0.14053528167887838</v>
      </c>
      <c r="U14">
        <f t="shared" si="8"/>
        <v>0.21720102955277901</v>
      </c>
      <c r="V14">
        <f t="shared" si="9"/>
        <v>4.1255804002087004E-2</v>
      </c>
      <c r="W14" t="e">
        <f t="shared" si="10"/>
        <v>#DIV/0!</v>
      </c>
    </row>
    <row r="15" spans="1:23" ht="51" x14ac:dyDescent="0.25">
      <c r="A15" s="1" t="s">
        <v>11</v>
      </c>
      <c r="B15" s="3">
        <v>20643062</v>
      </c>
      <c r="C15" s="6">
        <v>18739918</v>
      </c>
      <c r="D15" s="3">
        <v>16668966</v>
      </c>
      <c r="E15" s="3">
        <v>15186605</v>
      </c>
      <c r="F15" s="3">
        <v>14050278</v>
      </c>
      <c r="G15" s="3">
        <v>12674016</v>
      </c>
      <c r="H15" s="3">
        <v>11721603</v>
      </c>
      <c r="I15" s="3">
        <v>10695260</v>
      </c>
      <c r="J15" s="3">
        <v>10109980</v>
      </c>
      <c r="K15" s="31">
        <v>9015080</v>
      </c>
      <c r="M15" s="1" t="s">
        <v>11</v>
      </c>
      <c r="N15">
        <f t="shared" si="1"/>
        <v>0.10155562046749618</v>
      </c>
      <c r="O15">
        <f t="shared" si="2"/>
        <v>0.12423997985237957</v>
      </c>
      <c r="P15">
        <f t="shared" si="3"/>
        <v>9.760976860858632E-2</v>
      </c>
      <c r="Q15">
        <f t="shared" si="4"/>
        <v>8.0875766301563567E-2</v>
      </c>
      <c r="R15">
        <f t="shared" si="5"/>
        <v>0.10858925852705252</v>
      </c>
      <c r="S15">
        <f t="shared" si="6"/>
        <v>8.1252794519657418E-2</v>
      </c>
      <c r="T15">
        <f t="shared" si="7"/>
        <v>9.5962416995940256E-2</v>
      </c>
      <c r="U15">
        <f t="shared" si="8"/>
        <v>5.7891311357688144E-2</v>
      </c>
      <c r="V15">
        <f t="shared" si="9"/>
        <v>0.12145205588857781</v>
      </c>
      <c r="W15" t="e">
        <f t="shared" si="10"/>
        <v>#DIV/0!</v>
      </c>
    </row>
    <row r="16" spans="1:23" ht="25.5" x14ac:dyDescent="0.25">
      <c r="A16" s="1" t="s">
        <v>12</v>
      </c>
      <c r="B16" s="3">
        <v>27227143</v>
      </c>
      <c r="C16" s="6">
        <v>24831618</v>
      </c>
      <c r="D16" s="3">
        <v>22343760</v>
      </c>
      <c r="E16" s="3">
        <v>20493729</v>
      </c>
      <c r="F16" s="3">
        <v>18844578</v>
      </c>
      <c r="G16" s="3">
        <v>16799963</v>
      </c>
      <c r="H16" s="3">
        <v>15432067</v>
      </c>
      <c r="I16" s="3">
        <v>13962590</v>
      </c>
      <c r="J16" s="3">
        <v>12791940</v>
      </c>
      <c r="K16" s="31">
        <v>11617620</v>
      </c>
      <c r="M16" s="1" t="s">
        <v>12</v>
      </c>
      <c r="N16">
        <f t="shared" si="1"/>
        <v>9.6470757564005694E-2</v>
      </c>
      <c r="O16">
        <f t="shared" si="2"/>
        <v>0.11134464387372582</v>
      </c>
      <c r="P16">
        <f t="shared" si="3"/>
        <v>9.0273029374009967E-2</v>
      </c>
      <c r="Q16">
        <f t="shared" si="4"/>
        <v>8.7513288968317574E-2</v>
      </c>
      <c r="R16">
        <f t="shared" si="5"/>
        <v>0.12170354184708621</v>
      </c>
      <c r="S16">
        <f t="shared" si="6"/>
        <v>8.8639843256253362E-2</v>
      </c>
      <c r="T16">
        <f t="shared" si="7"/>
        <v>0.10524386951131559</v>
      </c>
      <c r="U16">
        <f t="shared" si="8"/>
        <v>9.1514656885507598E-2</v>
      </c>
      <c r="V16">
        <f t="shared" si="9"/>
        <v>0.10108094428979429</v>
      </c>
      <c r="W16" t="e">
        <f t="shared" si="10"/>
        <v>#DIV/0!</v>
      </c>
    </row>
    <row r="17" spans="1:23" x14ac:dyDescent="0.25">
      <c r="A17" s="1"/>
      <c r="B17" s="3"/>
      <c r="C17" s="6"/>
      <c r="D17" s="3"/>
      <c r="E17" s="3"/>
      <c r="F17" s="3"/>
      <c r="G17" s="3"/>
      <c r="H17" s="3"/>
      <c r="I17" s="3"/>
      <c r="J17" s="3"/>
      <c r="K17" s="31"/>
      <c r="M17" s="1" t="s">
        <v>151</v>
      </c>
      <c r="N17">
        <v>0.11</v>
      </c>
      <c r="O17">
        <v>0.11</v>
      </c>
      <c r="P17">
        <v>0.11</v>
      </c>
      <c r="Q17">
        <v>0.11</v>
      </c>
      <c r="R17">
        <v>0.11</v>
      </c>
      <c r="S17">
        <v>0.11</v>
      </c>
      <c r="T17">
        <v>0.11</v>
      </c>
      <c r="U17">
        <v>0.11</v>
      </c>
      <c r="V17">
        <v>0.11</v>
      </c>
      <c r="W17">
        <v>0.11</v>
      </c>
    </row>
    <row r="18" spans="1:23" ht="25.5" x14ac:dyDescent="0.25">
      <c r="A18" s="1" t="s">
        <v>13</v>
      </c>
      <c r="B18" s="3">
        <v>1395485</v>
      </c>
      <c r="C18" s="6">
        <v>1313366</v>
      </c>
      <c r="D18" s="3">
        <v>1146809</v>
      </c>
      <c r="E18" s="3">
        <v>1012241</v>
      </c>
      <c r="F18" s="3">
        <v>509544</v>
      </c>
      <c r="G18" s="3">
        <v>433441</v>
      </c>
      <c r="H18" s="3">
        <v>367287</v>
      </c>
      <c r="I18" s="3">
        <v>300810</v>
      </c>
      <c r="J18" s="3">
        <v>256210</v>
      </c>
      <c r="K18" s="31">
        <v>208410</v>
      </c>
      <c r="M18" s="1" t="s">
        <v>13</v>
      </c>
      <c r="N18">
        <f t="shared" si="1"/>
        <v>6.2525602155073301E-2</v>
      </c>
      <c r="O18">
        <f t="shared" si="2"/>
        <v>0.14523516993675495</v>
      </c>
      <c r="P18">
        <f t="shared" si="3"/>
        <v>0.1329406732191247</v>
      </c>
      <c r="Q18">
        <f t="shared" si="4"/>
        <v>0.98656249509365235</v>
      </c>
      <c r="R18">
        <f t="shared" si="5"/>
        <v>0.17557868314257305</v>
      </c>
      <c r="S18">
        <f t="shared" si="6"/>
        <v>0.18011527769836666</v>
      </c>
      <c r="T18">
        <f t="shared" si="7"/>
        <v>0.22099331804128852</v>
      </c>
      <c r="U18">
        <f t="shared" si="8"/>
        <v>0.17407595331954256</v>
      </c>
      <c r="V18">
        <f t="shared" si="9"/>
        <v>0.22935559714025239</v>
      </c>
      <c r="W18" t="e">
        <f t="shared" si="10"/>
        <v>#DIV/0!</v>
      </c>
    </row>
    <row r="19" spans="1:23" x14ac:dyDescent="0.25">
      <c r="A19" s="1" t="s">
        <v>14</v>
      </c>
      <c r="B19" s="3">
        <v>28622628</v>
      </c>
      <c r="C19" s="6">
        <v>26144984</v>
      </c>
      <c r="D19" s="3">
        <v>23490569</v>
      </c>
      <c r="E19" s="3">
        <v>21505970</v>
      </c>
      <c r="F19" s="3">
        <v>19354122</v>
      </c>
      <c r="G19" s="3">
        <v>17233404</v>
      </c>
      <c r="H19" s="3">
        <v>15799354</v>
      </c>
      <c r="I19" s="3">
        <v>14263390</v>
      </c>
      <c r="J19" s="3">
        <v>13048140</v>
      </c>
      <c r="K19" s="31">
        <v>11826030</v>
      </c>
      <c r="M19" s="1" t="s">
        <v>14</v>
      </c>
      <c r="N19">
        <f t="shared" si="1"/>
        <v>9.4765558089459911E-2</v>
      </c>
      <c r="O19">
        <f t="shared" si="2"/>
        <v>0.11299917852138873</v>
      </c>
      <c r="P19">
        <f t="shared" si="3"/>
        <v>9.2281306074545807E-2</v>
      </c>
      <c r="Q19">
        <f t="shared" si="4"/>
        <v>0.11118293043724742</v>
      </c>
      <c r="R19">
        <f t="shared" si="5"/>
        <v>0.12305856695519933</v>
      </c>
      <c r="S19">
        <f t="shared" si="6"/>
        <v>9.0766369308517295E-2</v>
      </c>
      <c r="T19">
        <f t="shared" si="7"/>
        <v>0.10768576053799273</v>
      </c>
      <c r="U19">
        <f t="shared" si="8"/>
        <v>9.3135879903189264E-2</v>
      </c>
      <c r="V19">
        <f t="shared" si="9"/>
        <v>0.10334068153048825</v>
      </c>
      <c r="W19" t="e">
        <f t="shared" si="10"/>
        <v>#DIV/0!</v>
      </c>
    </row>
    <row r="20" spans="1:23" x14ac:dyDescent="0.25">
      <c r="B20" s="4">
        <v>-28682074</v>
      </c>
      <c r="C20" s="7">
        <v>-26253226</v>
      </c>
      <c r="D20" s="3"/>
    </row>
    <row r="22" spans="1:23" x14ac:dyDescent="0.25">
      <c r="A22" s="32" t="s">
        <v>149</v>
      </c>
      <c r="B22">
        <f>B10+B15</f>
        <v>23483085</v>
      </c>
      <c r="C22">
        <f t="shared" ref="C22:K22" si="12">C10+C15</f>
        <v>21326806</v>
      </c>
      <c r="D22">
        <f t="shared" si="12"/>
        <v>18989564</v>
      </c>
      <c r="E22">
        <f t="shared" si="12"/>
        <v>17399597</v>
      </c>
      <c r="F22">
        <f t="shared" si="12"/>
        <v>16045398</v>
      </c>
      <c r="G22">
        <f t="shared" si="12"/>
        <v>14411708</v>
      </c>
      <c r="H22">
        <f t="shared" si="12"/>
        <v>13348115</v>
      </c>
      <c r="I22">
        <f t="shared" si="12"/>
        <v>12178970</v>
      </c>
      <c r="J22">
        <f t="shared" si="12"/>
        <v>11506720</v>
      </c>
      <c r="K22">
        <f t="shared" si="12"/>
        <v>10004910</v>
      </c>
    </row>
    <row r="24" spans="1:23" x14ac:dyDescent="0.25">
      <c r="A24" t="s">
        <v>150</v>
      </c>
      <c r="B24">
        <f>B2/B22</f>
        <v>0.15461132981463041</v>
      </c>
      <c r="C24">
        <f t="shared" ref="C24:K24" si="13">C2/C22</f>
        <v>0.15990561362071751</v>
      </c>
      <c r="D24">
        <f t="shared" si="13"/>
        <v>0.17253876918922414</v>
      </c>
      <c r="E24">
        <f t="shared" si="13"/>
        <v>0.17446892591822671</v>
      </c>
      <c r="F24">
        <f t="shared" si="13"/>
        <v>0.17150263271749319</v>
      </c>
      <c r="G24">
        <f t="shared" si="13"/>
        <v>0.16304438030523516</v>
      </c>
      <c r="H24">
        <f t="shared" si="13"/>
        <v>0.15374522919528338</v>
      </c>
      <c r="I24">
        <f t="shared" si="13"/>
        <v>0.14448758803084333</v>
      </c>
      <c r="J24">
        <f t="shared" si="13"/>
        <v>0.10985928222812409</v>
      </c>
      <c r="K24">
        <f t="shared" si="13"/>
        <v>0.15964661351276524</v>
      </c>
    </row>
    <row r="26" spans="1:23" x14ac:dyDescent="0.25">
      <c r="A26" t="s">
        <v>201</v>
      </c>
      <c r="B26">
        <f>B16/B8</f>
        <v>7.1328889502497557</v>
      </c>
      <c r="C26">
        <f t="shared" ref="C26:K26" si="14">C16/C8</f>
        <v>6.8739717396576028</v>
      </c>
      <c r="D26">
        <f t="shared" si="14"/>
        <v>6.4195341650508002</v>
      </c>
      <c r="E26">
        <f t="shared" si="14"/>
        <v>6.3413837853493344</v>
      </c>
      <c r="F26">
        <f t="shared" si="14"/>
        <v>6.3756756016089593</v>
      </c>
      <c r="G26">
        <f t="shared" si="14"/>
        <v>6.6014884817525417</v>
      </c>
      <c r="H26">
        <f t="shared" si="14"/>
        <v>6.9472163311095914</v>
      </c>
      <c r="I26">
        <f t="shared" si="14"/>
        <v>7.3526400876255273</v>
      </c>
      <c r="J26">
        <f t="shared" si="14"/>
        <v>9.0955204778157004</v>
      </c>
      <c r="K26">
        <f t="shared" si="14"/>
        <v>6.7166684974590529</v>
      </c>
    </row>
    <row r="28" spans="1:23" x14ac:dyDescent="0.25">
      <c r="A28" t="s">
        <v>202</v>
      </c>
      <c r="B28">
        <f>B2/B22</f>
        <v>0.15461132981463041</v>
      </c>
      <c r="C28">
        <f t="shared" ref="C28:K28" si="15">C2/C22</f>
        <v>0.15990561362071751</v>
      </c>
      <c r="D28">
        <f t="shared" si="15"/>
        <v>0.17253876918922414</v>
      </c>
      <c r="E28">
        <f t="shared" si="15"/>
        <v>0.17446892591822671</v>
      </c>
      <c r="F28">
        <f t="shared" si="15"/>
        <v>0.17150263271749319</v>
      </c>
      <c r="G28">
        <f t="shared" si="15"/>
        <v>0.16304438030523516</v>
      </c>
      <c r="H28">
        <f t="shared" si="15"/>
        <v>0.15374522919528338</v>
      </c>
      <c r="I28">
        <f t="shared" si="15"/>
        <v>0.14448758803084333</v>
      </c>
      <c r="J28">
        <f t="shared" si="15"/>
        <v>0.10985928222812409</v>
      </c>
      <c r="K28">
        <f t="shared" si="15"/>
        <v>0.15964661351276524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C1C1-5FDA-475B-86F6-E4F3C3D0585F}">
  <dimension ref="A1:M19"/>
  <sheetViews>
    <sheetView workbookViewId="0">
      <selection activeCell="B1" sqref="B1:M1"/>
    </sheetView>
  </sheetViews>
  <sheetFormatPr defaultRowHeight="15" x14ac:dyDescent="0.25"/>
  <sheetData>
    <row r="1" spans="1:13" x14ac:dyDescent="0.25">
      <c r="A1" s="2" t="s">
        <v>15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  <c r="M1" s="14" t="s">
        <v>39</v>
      </c>
    </row>
    <row r="2" spans="1:13" ht="89.25" x14ac:dyDescent="0.25">
      <c r="A2" s="1" t="s">
        <v>0</v>
      </c>
      <c r="B2" s="3">
        <v>3503602</v>
      </c>
      <c r="C2" s="6">
        <v>3558434</v>
      </c>
      <c r="D2" s="3">
        <v>3620845</v>
      </c>
      <c r="E2" s="3">
        <v>3693751</v>
      </c>
    </row>
    <row r="3" spans="1:13" ht="51" x14ac:dyDescent="0.25">
      <c r="A3" s="1" t="s">
        <v>1</v>
      </c>
      <c r="B3" s="3">
        <v>3563413</v>
      </c>
      <c r="C3" s="6">
        <v>3614508</v>
      </c>
      <c r="D3" s="3">
        <v>3677221</v>
      </c>
      <c r="E3" s="3">
        <v>3749799</v>
      </c>
    </row>
    <row r="4" spans="1:13" ht="63.75" x14ac:dyDescent="0.25">
      <c r="A4" s="1" t="s">
        <v>2</v>
      </c>
      <c r="B4" s="3">
        <v>34940</v>
      </c>
      <c r="C4" s="6">
        <v>35274</v>
      </c>
      <c r="D4" s="3">
        <v>35563</v>
      </c>
      <c r="E4" s="3">
        <v>35889</v>
      </c>
    </row>
    <row r="5" spans="1:13" ht="63.75" x14ac:dyDescent="0.25">
      <c r="A5" s="1" t="s">
        <v>3</v>
      </c>
      <c r="B5" s="3">
        <v>743</v>
      </c>
      <c r="C5" s="6">
        <v>743</v>
      </c>
      <c r="D5" s="3">
        <v>743</v>
      </c>
      <c r="E5" s="3">
        <v>743</v>
      </c>
    </row>
    <row r="6" spans="1:13" ht="51" x14ac:dyDescent="0.25">
      <c r="A6" s="1" t="s">
        <v>4</v>
      </c>
      <c r="B6" s="3">
        <v>96376</v>
      </c>
      <c r="C6" s="6">
        <v>92995</v>
      </c>
      <c r="D6" s="3">
        <v>93696</v>
      </c>
      <c r="E6" s="3">
        <v>93722</v>
      </c>
    </row>
    <row r="7" spans="1:13" ht="51" x14ac:dyDescent="0.25">
      <c r="A7" s="1" t="s">
        <v>5</v>
      </c>
      <c r="B7" s="3">
        <v>2756006</v>
      </c>
      <c r="C7" s="6">
        <v>2778287</v>
      </c>
      <c r="D7" s="3">
        <v>2950448</v>
      </c>
      <c r="E7" s="3">
        <v>2886362</v>
      </c>
    </row>
    <row r="8" spans="1:13" ht="63.75" x14ac:dyDescent="0.25">
      <c r="A8" s="1" t="s">
        <v>6</v>
      </c>
      <c r="B8" s="3">
        <v>2651712</v>
      </c>
      <c r="C8" s="6">
        <v>2664975</v>
      </c>
      <c r="D8" s="3">
        <v>2840023</v>
      </c>
      <c r="E8" s="3">
        <v>2782612</v>
      </c>
    </row>
    <row r="9" spans="1:13" ht="76.5" x14ac:dyDescent="0.25">
      <c r="A9" s="1" t="s">
        <v>7</v>
      </c>
      <c r="B9" s="3">
        <v>104294</v>
      </c>
      <c r="C9" s="6">
        <v>113312</v>
      </c>
      <c r="D9" s="3">
        <v>110426</v>
      </c>
      <c r="E9" s="3">
        <v>103750</v>
      </c>
    </row>
    <row r="10" spans="1:13" ht="25.5" x14ac:dyDescent="0.25">
      <c r="A10" s="1" t="s">
        <v>8</v>
      </c>
      <c r="B10" s="3">
        <v>6259608</v>
      </c>
      <c r="C10" s="6">
        <v>6336721</v>
      </c>
      <c r="D10" s="3">
        <v>6571293</v>
      </c>
      <c r="E10" s="3">
        <v>6580113</v>
      </c>
    </row>
    <row r="11" spans="1:13" ht="63.75" x14ac:dyDescent="0.25">
      <c r="A11" s="1" t="s">
        <v>9</v>
      </c>
      <c r="B11" s="3">
        <v>200889</v>
      </c>
      <c r="C11" s="6">
        <v>201999</v>
      </c>
      <c r="D11" s="3">
        <v>201999</v>
      </c>
      <c r="E11" s="3">
        <v>201999</v>
      </c>
    </row>
    <row r="12" spans="1:13" ht="25.5" x14ac:dyDescent="0.25">
      <c r="A12" s="1" t="s">
        <v>10</v>
      </c>
      <c r="B12" s="3">
        <v>6460497</v>
      </c>
      <c r="C12" s="6">
        <v>6538720</v>
      </c>
      <c r="D12" s="3">
        <v>6773292</v>
      </c>
      <c r="E12" s="3">
        <v>6782112</v>
      </c>
    </row>
    <row r="13" spans="1:13" ht="51" x14ac:dyDescent="0.25">
      <c r="A13" s="1" t="s">
        <v>11</v>
      </c>
      <c r="B13" s="3">
        <v>20369151</v>
      </c>
      <c r="C13" s="6">
        <v>20515359</v>
      </c>
      <c r="D13" s="3">
        <v>20643062</v>
      </c>
      <c r="E13" s="3">
        <v>20992039</v>
      </c>
    </row>
    <row r="14" spans="1:13" x14ac:dyDescent="0.25">
      <c r="A14" s="1"/>
      <c r="B14" s="8">
        <v>-20433390</v>
      </c>
      <c r="C14" s="7">
        <v>-20577221</v>
      </c>
      <c r="D14" s="4">
        <v>-20702508</v>
      </c>
      <c r="E14" s="4">
        <v>-21050572</v>
      </c>
    </row>
    <row r="15" spans="1:13" ht="25.5" x14ac:dyDescent="0.25">
      <c r="A15" s="1" t="s">
        <v>12</v>
      </c>
      <c r="B15" s="3">
        <v>26628759</v>
      </c>
      <c r="C15" s="6">
        <v>26852080</v>
      </c>
      <c r="D15" s="3">
        <v>27214355</v>
      </c>
      <c r="E15" s="3">
        <v>27572152</v>
      </c>
    </row>
    <row r="16" spans="1:13" x14ac:dyDescent="0.25">
      <c r="A16" s="1"/>
      <c r="B16" s="8">
        <v>-26692999</v>
      </c>
      <c r="C16" s="7">
        <v>-26913942</v>
      </c>
      <c r="D16" s="4">
        <v>-27273801</v>
      </c>
      <c r="E16" s="4">
        <v>-27630685</v>
      </c>
    </row>
    <row r="17" spans="1:5" ht="51" x14ac:dyDescent="0.25">
      <c r="A17" s="1" t="s">
        <v>13</v>
      </c>
      <c r="B17" s="3">
        <v>1379283</v>
      </c>
      <c r="C17" s="6">
        <v>1395485</v>
      </c>
      <c r="D17" s="3">
        <v>1395485</v>
      </c>
      <c r="E17" s="3">
        <v>1395485</v>
      </c>
    </row>
    <row r="18" spans="1:5" ht="25.5" x14ac:dyDescent="0.25">
      <c r="A18" s="1" t="s">
        <v>14</v>
      </c>
      <c r="B18" s="3">
        <v>28008042</v>
      </c>
      <c r="C18" s="6">
        <v>28247565</v>
      </c>
      <c r="D18" s="3">
        <v>28609840</v>
      </c>
      <c r="E18" s="3">
        <v>28967637</v>
      </c>
    </row>
    <row r="19" spans="1:5" x14ac:dyDescent="0.25">
      <c r="B19" s="8">
        <v>-28072282</v>
      </c>
      <c r="C19" s="7">
        <v>-28309427</v>
      </c>
      <c r="D19" s="4">
        <v>-28669286</v>
      </c>
      <c r="E19" s="4">
        <v>-29026170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688C-51EE-4216-80AB-FC8DB05CA8FF}">
  <dimension ref="A1:M22"/>
  <sheetViews>
    <sheetView workbookViewId="0">
      <pane ySplit="1" topLeftCell="A5" activePane="bottomLeft" state="frozen"/>
      <selection pane="bottomLeft" activeCell="B7" sqref="B7:M7"/>
    </sheetView>
  </sheetViews>
  <sheetFormatPr defaultRowHeight="15" x14ac:dyDescent="0.25"/>
  <cols>
    <col min="1" max="1" width="44.140625" customWidth="1"/>
    <col min="2" max="2" width="10.140625" bestFit="1" customWidth="1"/>
    <col min="5" max="5" width="11.28515625" bestFit="1" customWidth="1"/>
  </cols>
  <sheetData>
    <row r="1" spans="1:13" x14ac:dyDescent="0.25">
      <c r="A1" s="2" t="s">
        <v>15</v>
      </c>
      <c r="B1" s="14" t="s">
        <v>40</v>
      </c>
      <c r="C1" s="14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</row>
    <row r="2" spans="1:13" x14ac:dyDescent="0.25">
      <c r="A2" s="1" t="s">
        <v>0</v>
      </c>
      <c r="B2" s="16">
        <v>3323263</v>
      </c>
      <c r="C2" s="3">
        <v>3361633</v>
      </c>
      <c r="D2" s="6">
        <v>3418888</v>
      </c>
      <c r="E2" s="3">
        <v>3454255</v>
      </c>
      <c r="F2" s="3">
        <v>3468476</v>
      </c>
      <c r="G2" s="3">
        <v>3445861</v>
      </c>
      <c r="H2" s="3">
        <v>3426089</v>
      </c>
      <c r="I2" s="3">
        <v>3404741</v>
      </c>
      <c r="J2" s="3">
        <v>3392284</v>
      </c>
      <c r="K2" s="3">
        <v>3415233</v>
      </c>
      <c r="L2" s="6">
        <v>3444217</v>
      </c>
      <c r="M2" s="6">
        <v>3459977</v>
      </c>
    </row>
    <row r="3" spans="1:13" x14ac:dyDescent="0.25">
      <c r="A3" s="1" t="s">
        <v>1</v>
      </c>
      <c r="B3" s="16">
        <v>3386177</v>
      </c>
      <c r="C3" s="3">
        <v>3423064</v>
      </c>
      <c r="D3" s="6">
        <v>3486650</v>
      </c>
      <c r="E3" s="3">
        <v>3532885</v>
      </c>
      <c r="F3" s="3">
        <v>3537190</v>
      </c>
      <c r="G3" s="3">
        <v>3528333</v>
      </c>
      <c r="H3" s="3">
        <v>3502389</v>
      </c>
      <c r="I3" s="3">
        <v>3477861</v>
      </c>
      <c r="J3" s="3">
        <v>3455216</v>
      </c>
      <c r="K3" s="3">
        <v>3482799</v>
      </c>
      <c r="L3" s="6">
        <v>3510709</v>
      </c>
      <c r="M3" s="6">
        <v>3524608</v>
      </c>
    </row>
    <row r="4" spans="1:13" x14ac:dyDescent="0.25">
      <c r="A4" s="1" t="s">
        <v>2</v>
      </c>
      <c r="B4" s="16">
        <v>32144</v>
      </c>
      <c r="C4" s="3">
        <v>32455</v>
      </c>
      <c r="D4" s="6">
        <v>32455</v>
      </c>
      <c r="E4" s="3">
        <v>32689</v>
      </c>
      <c r="F4" s="3">
        <v>33115</v>
      </c>
      <c r="G4" s="3">
        <v>33322</v>
      </c>
      <c r="H4" s="3">
        <v>33563</v>
      </c>
      <c r="I4" s="3">
        <v>33563</v>
      </c>
      <c r="J4" s="3">
        <v>33851</v>
      </c>
      <c r="K4" s="3">
        <v>34090</v>
      </c>
      <c r="L4" s="6">
        <v>34676</v>
      </c>
      <c r="M4" s="6">
        <v>34940</v>
      </c>
    </row>
    <row r="5" spans="1:13" x14ac:dyDescent="0.25">
      <c r="A5" s="1" t="s">
        <v>3</v>
      </c>
      <c r="B5" s="16">
        <v>743</v>
      </c>
      <c r="C5" s="3">
        <v>743</v>
      </c>
      <c r="D5" s="6">
        <v>743</v>
      </c>
      <c r="E5" s="3">
        <v>743</v>
      </c>
      <c r="F5" s="3">
        <v>743</v>
      </c>
      <c r="G5" s="3">
        <v>743</v>
      </c>
      <c r="H5" s="3">
        <v>743</v>
      </c>
      <c r="I5" s="3">
        <v>743</v>
      </c>
      <c r="J5" s="3">
        <v>743</v>
      </c>
      <c r="K5" s="3">
        <v>743</v>
      </c>
      <c r="L5" s="6">
        <v>743</v>
      </c>
      <c r="M5" s="6">
        <v>743</v>
      </c>
    </row>
    <row r="6" spans="1:13" x14ac:dyDescent="0.25">
      <c r="A6" s="1" t="s">
        <v>4</v>
      </c>
      <c r="B6" s="16">
        <v>95944</v>
      </c>
      <c r="C6" s="3">
        <v>94830</v>
      </c>
      <c r="D6" s="6">
        <v>101185</v>
      </c>
      <c r="E6" s="3">
        <v>112314</v>
      </c>
      <c r="F6" s="3">
        <v>102896</v>
      </c>
      <c r="G6" s="3">
        <v>117141</v>
      </c>
      <c r="H6" s="3">
        <v>111091</v>
      </c>
      <c r="I6" s="3">
        <v>108200</v>
      </c>
      <c r="J6" s="3">
        <v>98253</v>
      </c>
      <c r="K6" s="3">
        <v>103162</v>
      </c>
      <c r="L6" s="6">
        <v>102752</v>
      </c>
      <c r="M6" s="6">
        <v>101225</v>
      </c>
    </row>
    <row r="7" spans="1:13" x14ac:dyDescent="0.25">
      <c r="A7" s="1" t="s">
        <v>145</v>
      </c>
      <c r="B7" s="16">
        <f>B3+B4+B5+B6</f>
        <v>3515008</v>
      </c>
      <c r="C7" s="16">
        <f t="shared" ref="C7:M7" si="0">C3+C4+C5+C6</f>
        <v>3551092</v>
      </c>
      <c r="D7" s="16">
        <f t="shared" si="0"/>
        <v>3621033</v>
      </c>
      <c r="E7" s="16">
        <f t="shared" si="0"/>
        <v>3678631</v>
      </c>
      <c r="F7" s="16">
        <f t="shared" si="0"/>
        <v>3673944</v>
      </c>
      <c r="G7" s="16">
        <f t="shared" si="0"/>
        <v>3679539</v>
      </c>
      <c r="H7" s="16">
        <f t="shared" si="0"/>
        <v>3647786</v>
      </c>
      <c r="I7" s="16">
        <f t="shared" si="0"/>
        <v>3620367</v>
      </c>
      <c r="J7" s="16">
        <f t="shared" si="0"/>
        <v>3588063</v>
      </c>
      <c r="K7" s="16">
        <f t="shared" si="0"/>
        <v>3620794</v>
      </c>
      <c r="L7" s="16">
        <f t="shared" si="0"/>
        <v>3648880</v>
      </c>
      <c r="M7" s="16">
        <f t="shared" si="0"/>
        <v>3661516</v>
      </c>
    </row>
    <row r="8" spans="1:13" x14ac:dyDescent="0.25">
      <c r="A8" s="1" t="s">
        <v>5</v>
      </c>
      <c r="B8" s="16">
        <v>2578240</v>
      </c>
      <c r="C8" s="3">
        <v>2594337</v>
      </c>
      <c r="D8" s="6">
        <v>2671710</v>
      </c>
      <c r="E8" s="3">
        <v>2693081</v>
      </c>
      <c r="F8" s="3">
        <v>2742637</v>
      </c>
      <c r="G8" s="3">
        <v>2842003</v>
      </c>
      <c r="H8" s="3">
        <v>2678638</v>
      </c>
      <c r="I8" s="3">
        <v>2680305</v>
      </c>
      <c r="J8" s="3">
        <v>2735069</v>
      </c>
      <c r="K8" s="3">
        <v>2786278</v>
      </c>
      <c r="L8" s="6">
        <v>2821629</v>
      </c>
      <c r="M8" s="6">
        <v>2812342</v>
      </c>
    </row>
    <row r="9" spans="1:13" x14ac:dyDescent="0.25">
      <c r="A9" s="1" t="s">
        <v>6</v>
      </c>
      <c r="B9" s="16">
        <v>2497829</v>
      </c>
      <c r="C9" s="3">
        <v>2510518</v>
      </c>
      <c r="D9" s="6">
        <v>2586888</v>
      </c>
      <c r="E9" s="3">
        <v>2606729</v>
      </c>
      <c r="F9" s="3">
        <v>2651468</v>
      </c>
      <c r="G9" s="3">
        <v>2746237</v>
      </c>
      <c r="H9" s="3">
        <v>2587413</v>
      </c>
      <c r="I9" s="3">
        <v>2588482</v>
      </c>
      <c r="J9" s="3">
        <v>2640984</v>
      </c>
      <c r="K9" s="3">
        <v>2687986</v>
      </c>
      <c r="L9" s="6">
        <v>2718636</v>
      </c>
      <c r="M9" s="6">
        <v>2710713</v>
      </c>
    </row>
    <row r="10" spans="1:13" x14ac:dyDescent="0.25">
      <c r="A10" s="1" t="s">
        <v>7</v>
      </c>
      <c r="B10" s="16">
        <v>80411</v>
      </c>
      <c r="C10" s="3">
        <v>83819</v>
      </c>
      <c r="D10" s="6">
        <v>84822</v>
      </c>
      <c r="E10" s="3">
        <v>86352</v>
      </c>
      <c r="F10" s="3">
        <v>91169</v>
      </c>
      <c r="G10" s="3">
        <v>95766</v>
      </c>
      <c r="H10" s="3">
        <v>91225</v>
      </c>
      <c r="I10" s="3">
        <v>91822</v>
      </c>
      <c r="J10" s="3">
        <v>94085</v>
      </c>
      <c r="K10" s="3">
        <v>98292</v>
      </c>
      <c r="L10" s="6">
        <v>102993</v>
      </c>
      <c r="M10" s="6">
        <v>101629</v>
      </c>
    </row>
    <row r="11" spans="1:13" x14ac:dyDescent="0.25">
      <c r="A11" s="1" t="s">
        <v>8</v>
      </c>
      <c r="B11" s="16">
        <v>5901503</v>
      </c>
      <c r="C11" s="3">
        <v>5955970</v>
      </c>
      <c r="D11" s="6">
        <v>6090599</v>
      </c>
      <c r="E11" s="3">
        <v>6147336</v>
      </c>
      <c r="F11" s="3">
        <v>6211113</v>
      </c>
      <c r="G11" s="3">
        <v>6287864</v>
      </c>
      <c r="H11" s="3">
        <v>6104726</v>
      </c>
      <c r="I11" s="3">
        <v>6085046</v>
      </c>
      <c r="J11" s="3">
        <v>6127353</v>
      </c>
      <c r="K11" s="3">
        <v>6201510</v>
      </c>
      <c r="L11" s="6">
        <v>6265846</v>
      </c>
      <c r="M11" s="6">
        <v>6272318</v>
      </c>
    </row>
    <row r="12" spans="1:13" x14ac:dyDescent="0.25">
      <c r="A12" s="1" t="s">
        <v>9</v>
      </c>
      <c r="B12" s="16">
        <v>200257</v>
      </c>
      <c r="C12" s="3">
        <v>191692</v>
      </c>
      <c r="D12" s="6">
        <v>195777</v>
      </c>
      <c r="E12" s="3">
        <v>195445</v>
      </c>
      <c r="F12" s="3">
        <v>225927</v>
      </c>
      <c r="G12" s="3">
        <v>225927</v>
      </c>
      <c r="H12" s="3">
        <v>225927</v>
      </c>
      <c r="I12" s="3">
        <v>199017</v>
      </c>
      <c r="J12" s="3">
        <v>199017</v>
      </c>
      <c r="K12" s="3">
        <v>199017</v>
      </c>
      <c r="L12" s="6">
        <v>200889</v>
      </c>
      <c r="M12" s="6">
        <v>200889</v>
      </c>
    </row>
    <row r="13" spans="1:13" x14ac:dyDescent="0.25">
      <c r="A13" s="1" t="s">
        <v>10</v>
      </c>
      <c r="B13" s="16">
        <v>6101760</v>
      </c>
      <c r="C13" s="3">
        <v>6147662</v>
      </c>
      <c r="D13" s="6">
        <v>6286376</v>
      </c>
      <c r="E13" s="3">
        <v>6342781</v>
      </c>
      <c r="F13" s="3">
        <v>6437040</v>
      </c>
      <c r="G13" s="3">
        <v>6513791</v>
      </c>
      <c r="H13" s="3">
        <v>6330653</v>
      </c>
      <c r="I13" s="3">
        <v>6284063</v>
      </c>
      <c r="J13" s="3">
        <v>6326370</v>
      </c>
      <c r="K13" s="3">
        <v>6400527</v>
      </c>
      <c r="L13" s="6">
        <v>6466735</v>
      </c>
      <c r="M13" s="6">
        <v>6473207</v>
      </c>
    </row>
    <row r="14" spans="1:13" x14ac:dyDescent="0.25">
      <c r="A14" s="1" t="s">
        <v>11</v>
      </c>
      <c r="B14" s="16">
        <v>18399864</v>
      </c>
      <c r="C14" s="3">
        <v>18538143</v>
      </c>
      <c r="D14" s="6">
        <v>18739918</v>
      </c>
      <c r="E14" s="3">
        <v>19006639</v>
      </c>
      <c r="F14" s="3">
        <v>19303478</v>
      </c>
      <c r="G14" s="3">
        <v>19413975</v>
      </c>
      <c r="H14" s="3">
        <v>19485726</v>
      </c>
      <c r="I14" s="3">
        <v>19619055</v>
      </c>
      <c r="J14" s="3">
        <v>19751495</v>
      </c>
      <c r="K14" s="3">
        <v>20015200</v>
      </c>
      <c r="L14" s="6">
        <v>20182384</v>
      </c>
      <c r="M14" s="6">
        <v>20240455</v>
      </c>
    </row>
    <row r="15" spans="1:13" x14ac:dyDescent="0.25">
      <c r="A15" s="1"/>
      <c r="B15" s="7">
        <v>-18459622</v>
      </c>
      <c r="C15" s="8">
        <v>-18650930</v>
      </c>
      <c r="D15" s="7">
        <v>-18848160</v>
      </c>
      <c r="E15" s="4">
        <v>-19112622</v>
      </c>
      <c r="F15" s="12">
        <v>-19398657</v>
      </c>
      <c r="G15" s="12">
        <v>-19503372</v>
      </c>
      <c r="H15" s="12">
        <v>-19568928</v>
      </c>
      <c r="I15" s="11">
        <v>-19698002</v>
      </c>
      <c r="J15" s="10">
        <v>-19826970</v>
      </c>
      <c r="K15" s="10">
        <v>-20087772</v>
      </c>
      <c r="L15" s="7">
        <v>-20251544</v>
      </c>
      <c r="M15" s="7">
        <v>-20307146</v>
      </c>
    </row>
    <row r="16" spans="1:13" x14ac:dyDescent="0.25">
      <c r="A16" s="1" t="s">
        <v>12</v>
      </c>
      <c r="B16" s="16">
        <v>24301366</v>
      </c>
      <c r="C16" s="3">
        <v>24494113</v>
      </c>
      <c r="D16" s="6">
        <v>24830516</v>
      </c>
      <c r="E16" s="3">
        <v>25153975</v>
      </c>
      <c r="F16" s="3">
        <v>25514591</v>
      </c>
      <c r="G16" s="3">
        <v>25701839</v>
      </c>
      <c r="H16" s="3">
        <v>25590453</v>
      </c>
      <c r="I16" s="3">
        <v>25704100</v>
      </c>
      <c r="J16" s="3">
        <v>25878848</v>
      </c>
      <c r="K16" s="3">
        <v>26216711</v>
      </c>
      <c r="L16" s="6">
        <v>26448230</v>
      </c>
      <c r="M16" s="6">
        <v>26512774</v>
      </c>
    </row>
    <row r="17" spans="1:13" x14ac:dyDescent="0.25">
      <c r="A17" s="1"/>
      <c r="B17" s="7">
        <v>-24361125</v>
      </c>
      <c r="C17" s="8">
        <v>-24606900</v>
      </c>
      <c r="D17" s="7">
        <v>-24938759</v>
      </c>
      <c r="E17" s="4">
        <v>-25259958</v>
      </c>
      <c r="F17" s="12">
        <v>-25609770</v>
      </c>
      <c r="G17" s="12">
        <v>-25791236</v>
      </c>
      <c r="H17" s="12">
        <v>-25673654</v>
      </c>
      <c r="I17" s="11">
        <v>-25783048</v>
      </c>
      <c r="J17" s="10">
        <v>-25954324</v>
      </c>
      <c r="K17" s="10">
        <v>-26289282</v>
      </c>
      <c r="L17" s="7">
        <v>-26517391</v>
      </c>
      <c r="M17" s="7">
        <v>-26579464</v>
      </c>
    </row>
    <row r="18" spans="1:13" x14ac:dyDescent="0.25">
      <c r="A18" s="1" t="s">
        <v>13</v>
      </c>
      <c r="B18" s="16">
        <v>1113230</v>
      </c>
      <c r="C18" s="3">
        <v>1298796</v>
      </c>
      <c r="D18" s="6">
        <v>1313366</v>
      </c>
      <c r="E18" s="3">
        <v>1324920</v>
      </c>
      <c r="F18" s="3">
        <v>1298623</v>
      </c>
      <c r="G18" s="3">
        <v>1298623</v>
      </c>
      <c r="H18" s="3">
        <v>1298623</v>
      </c>
      <c r="I18" s="3">
        <v>1361211</v>
      </c>
      <c r="J18" s="3">
        <v>1361211</v>
      </c>
      <c r="K18" s="3">
        <v>1361211</v>
      </c>
      <c r="L18" s="6">
        <v>1379283</v>
      </c>
      <c r="M18" s="6">
        <v>1379283</v>
      </c>
    </row>
    <row r="19" spans="1:13" x14ac:dyDescent="0.25">
      <c r="A19" s="1" t="s">
        <v>14</v>
      </c>
      <c r="B19" s="16">
        <v>25414596</v>
      </c>
      <c r="C19" s="3">
        <v>25792909</v>
      </c>
      <c r="D19" s="6">
        <v>26143882</v>
      </c>
      <c r="E19" s="3">
        <v>26478895</v>
      </c>
      <c r="F19" s="3">
        <v>26813214</v>
      </c>
      <c r="G19" s="3">
        <v>27000462</v>
      </c>
      <c r="H19" s="3">
        <v>26889076</v>
      </c>
      <c r="I19" s="3">
        <v>27065311</v>
      </c>
      <c r="J19" s="3">
        <v>27240059</v>
      </c>
      <c r="K19" s="3">
        <v>27577922</v>
      </c>
      <c r="L19" s="6">
        <v>27827513</v>
      </c>
      <c r="M19" s="6">
        <v>27892057</v>
      </c>
    </row>
    <row r="20" spans="1:13" x14ac:dyDescent="0.25">
      <c r="B20" s="7">
        <v>-25474355</v>
      </c>
      <c r="C20" s="8">
        <v>-25905696</v>
      </c>
      <c r="D20" s="7">
        <v>-26252125</v>
      </c>
      <c r="E20" s="4">
        <v>-26584878</v>
      </c>
      <c r="F20" s="12">
        <v>-26908393</v>
      </c>
      <c r="G20" s="12">
        <v>-27089859</v>
      </c>
      <c r="H20" s="12">
        <v>-26972277</v>
      </c>
      <c r="I20" s="11">
        <v>-27144259</v>
      </c>
      <c r="J20" s="10">
        <v>-27315535</v>
      </c>
      <c r="K20" s="10">
        <v>-27650493</v>
      </c>
      <c r="L20" s="7">
        <v>-27896674</v>
      </c>
      <c r="M20" s="7">
        <v>-27958747</v>
      </c>
    </row>
    <row r="22" spans="1:13" x14ac:dyDescent="0.25">
      <c r="A22" t="s">
        <v>138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866E-2577-45B0-B15E-42C74AEFC4B2}">
  <dimension ref="A1:M23"/>
  <sheetViews>
    <sheetView zoomScale="77" workbookViewId="0">
      <pane ySplit="1" topLeftCell="A6" activePane="bottomLeft" state="frozen"/>
      <selection pane="bottomLeft" activeCell="B7" sqref="B7:M7"/>
    </sheetView>
  </sheetViews>
  <sheetFormatPr defaultRowHeight="15" x14ac:dyDescent="0.25"/>
  <cols>
    <col min="11" max="11" width="11.85546875" bestFit="1" customWidth="1"/>
  </cols>
  <sheetData>
    <row r="1" spans="1:13" x14ac:dyDescent="0.25">
      <c r="A1" s="2" t="s">
        <v>15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60</v>
      </c>
      <c r="K1" s="14" t="s">
        <v>61</v>
      </c>
      <c r="L1" s="14" t="s">
        <v>62</v>
      </c>
      <c r="M1" s="14" t="s">
        <v>63</v>
      </c>
    </row>
    <row r="2" spans="1:13" ht="89.25" x14ac:dyDescent="0.25">
      <c r="A2" s="1" t="s">
        <v>0</v>
      </c>
      <c r="B2" s="16">
        <v>3169720</v>
      </c>
      <c r="C2" s="3">
        <v>3222737</v>
      </c>
      <c r="D2" s="3">
        <v>3278334</v>
      </c>
      <c r="E2" s="3">
        <v>3346486</v>
      </c>
      <c r="F2" s="5">
        <v>3371391</v>
      </c>
      <c r="G2" s="6">
        <v>3446055</v>
      </c>
      <c r="H2" s="3">
        <v>3426089</v>
      </c>
      <c r="I2" s="3">
        <v>3205302</v>
      </c>
      <c r="J2" s="3">
        <v>3195976</v>
      </c>
      <c r="K2" s="3">
        <v>3201682</v>
      </c>
      <c r="L2" s="3">
        <v>3254799</v>
      </c>
      <c r="M2" s="16">
        <v>3255680</v>
      </c>
    </row>
    <row r="3" spans="1:13" ht="51" x14ac:dyDescent="0.25">
      <c r="A3" s="1" t="s">
        <v>1</v>
      </c>
      <c r="B3" s="16">
        <v>3261863</v>
      </c>
      <c r="C3" s="3">
        <v>3301475</v>
      </c>
      <c r="D3" s="3">
        <v>3350365</v>
      </c>
      <c r="E3" s="3">
        <v>3425056</v>
      </c>
      <c r="F3" s="5">
        <v>3447924</v>
      </c>
      <c r="G3" s="6">
        <v>3528333</v>
      </c>
      <c r="H3" s="3">
        <v>3502389</v>
      </c>
      <c r="I3" s="3">
        <v>3278580</v>
      </c>
      <c r="J3" s="3">
        <v>3270406</v>
      </c>
      <c r="K3" s="3">
        <v>3272342</v>
      </c>
      <c r="L3" s="3">
        <v>3323773</v>
      </c>
      <c r="M3" s="16">
        <v>3330296</v>
      </c>
    </row>
    <row r="4" spans="1:13" ht="63.75" x14ac:dyDescent="0.25">
      <c r="A4" s="1" t="s">
        <v>2</v>
      </c>
      <c r="B4" s="16">
        <v>29048</v>
      </c>
      <c r="C4" s="3">
        <v>29264</v>
      </c>
      <c r="D4" s="3">
        <v>29264</v>
      </c>
      <c r="E4" s="3">
        <v>29542</v>
      </c>
      <c r="F4" s="5">
        <v>29739</v>
      </c>
      <c r="G4" s="6">
        <v>33322</v>
      </c>
      <c r="H4" s="3">
        <v>33563</v>
      </c>
      <c r="I4" s="3">
        <v>30657</v>
      </c>
      <c r="J4" s="3">
        <v>30657</v>
      </c>
      <c r="K4" s="3">
        <v>30906</v>
      </c>
      <c r="L4" s="3">
        <v>31196</v>
      </c>
      <c r="M4" s="16">
        <v>31521</v>
      </c>
    </row>
    <row r="5" spans="1:13" ht="63.75" x14ac:dyDescent="0.25">
      <c r="A5" s="1" t="s">
        <v>3</v>
      </c>
      <c r="B5" s="16">
        <v>743</v>
      </c>
      <c r="C5" s="3">
        <v>743</v>
      </c>
      <c r="D5" s="3">
        <v>743</v>
      </c>
      <c r="E5" s="3">
        <v>743</v>
      </c>
      <c r="F5" s="5">
        <v>743</v>
      </c>
      <c r="G5" s="6">
        <v>743</v>
      </c>
      <c r="H5" s="3">
        <v>743</v>
      </c>
      <c r="I5" s="3">
        <v>743</v>
      </c>
      <c r="J5" s="3">
        <v>743</v>
      </c>
      <c r="K5" s="3">
        <v>743</v>
      </c>
      <c r="L5" s="3">
        <v>743</v>
      </c>
      <c r="M5" s="16">
        <v>743</v>
      </c>
    </row>
    <row r="6" spans="1:13" ht="51" x14ac:dyDescent="0.25">
      <c r="A6" s="1" t="s">
        <v>4</v>
      </c>
      <c r="B6" s="16">
        <v>122062</v>
      </c>
      <c r="C6" s="3">
        <v>108875</v>
      </c>
      <c r="D6" s="3">
        <v>102085</v>
      </c>
      <c r="E6" s="3">
        <v>108917</v>
      </c>
      <c r="F6" s="5">
        <v>107088</v>
      </c>
      <c r="G6" s="6">
        <v>116948</v>
      </c>
      <c r="H6" s="3">
        <v>111091</v>
      </c>
      <c r="I6" s="3">
        <v>104763</v>
      </c>
      <c r="J6" s="3">
        <v>105887</v>
      </c>
      <c r="K6" s="3">
        <v>102379</v>
      </c>
      <c r="L6" s="3">
        <v>101001</v>
      </c>
      <c r="M6" s="16">
        <v>106983</v>
      </c>
    </row>
    <row r="7" spans="1:13" ht="25.5" x14ac:dyDescent="0.25">
      <c r="A7" s="1" t="s">
        <v>145</v>
      </c>
      <c r="B7" s="16">
        <f>B3+B4+B5+B6</f>
        <v>3413716</v>
      </c>
      <c r="C7" s="16">
        <f t="shared" ref="C7:M7" si="0">C3+C4+C5+C6</f>
        <v>3440357</v>
      </c>
      <c r="D7" s="16">
        <f t="shared" si="0"/>
        <v>3482457</v>
      </c>
      <c r="E7" s="16">
        <f t="shared" si="0"/>
        <v>3564258</v>
      </c>
      <c r="F7" s="16">
        <f t="shared" si="0"/>
        <v>3585494</v>
      </c>
      <c r="G7" s="16">
        <f t="shared" si="0"/>
        <v>3679346</v>
      </c>
      <c r="H7" s="16">
        <f t="shared" si="0"/>
        <v>3647786</v>
      </c>
      <c r="I7" s="16">
        <f t="shared" si="0"/>
        <v>3414743</v>
      </c>
      <c r="J7" s="16">
        <f t="shared" si="0"/>
        <v>3407693</v>
      </c>
      <c r="K7" s="16">
        <f t="shared" si="0"/>
        <v>3406370</v>
      </c>
      <c r="L7" s="16">
        <f t="shared" si="0"/>
        <v>3456713</v>
      </c>
      <c r="M7" s="16">
        <f t="shared" si="0"/>
        <v>3469543</v>
      </c>
    </row>
    <row r="8" spans="1:13" ht="51" x14ac:dyDescent="0.25">
      <c r="A8" s="1" t="s">
        <v>5</v>
      </c>
      <c r="B8" s="16">
        <v>2360613</v>
      </c>
      <c r="C8" s="3">
        <v>2356710</v>
      </c>
      <c r="D8" s="3">
        <v>2385928</v>
      </c>
      <c r="E8" s="3">
        <v>2350074</v>
      </c>
      <c r="F8" s="5">
        <v>2328896</v>
      </c>
      <c r="G8" s="6">
        <v>2842003</v>
      </c>
      <c r="H8" s="3">
        <v>2678638</v>
      </c>
      <c r="I8" s="3">
        <v>2423242</v>
      </c>
      <c r="J8" s="3">
        <v>2416872</v>
      </c>
      <c r="K8" s="3">
        <v>2463354</v>
      </c>
      <c r="L8" s="3">
        <v>2523448</v>
      </c>
      <c r="M8" s="16">
        <v>2661541</v>
      </c>
    </row>
    <row r="9" spans="1:13" ht="63.75" x14ac:dyDescent="0.25">
      <c r="A9" s="1" t="s">
        <v>6</v>
      </c>
      <c r="B9" s="16">
        <v>2296792</v>
      </c>
      <c r="C9" s="3">
        <v>2292581</v>
      </c>
      <c r="D9" s="3">
        <v>2320598</v>
      </c>
      <c r="E9" s="3">
        <v>2281765</v>
      </c>
      <c r="F9" s="5">
        <v>2260902</v>
      </c>
      <c r="G9" s="6">
        <v>2746237</v>
      </c>
      <c r="H9" s="3">
        <v>2587413</v>
      </c>
      <c r="I9" s="3">
        <v>2351355</v>
      </c>
      <c r="J9" s="3">
        <v>2344131</v>
      </c>
      <c r="K9" s="3">
        <v>2390414</v>
      </c>
      <c r="L9" s="3">
        <v>2449084</v>
      </c>
      <c r="M9" s="16">
        <v>2580490</v>
      </c>
    </row>
    <row r="10" spans="1:13" ht="76.5" x14ac:dyDescent="0.25">
      <c r="A10" s="1" t="s">
        <v>7</v>
      </c>
      <c r="B10" s="16">
        <v>63821</v>
      </c>
      <c r="C10" s="3">
        <v>64129</v>
      </c>
      <c r="D10" s="3">
        <v>65330</v>
      </c>
      <c r="E10" s="3">
        <v>68309</v>
      </c>
      <c r="F10" s="5">
        <v>67994</v>
      </c>
      <c r="G10" s="6">
        <v>95766</v>
      </c>
      <c r="H10" s="3">
        <v>91225</v>
      </c>
      <c r="I10" s="3">
        <v>71887</v>
      </c>
      <c r="J10" s="3">
        <v>72741</v>
      </c>
      <c r="K10" s="3">
        <v>72940</v>
      </c>
      <c r="L10" s="3">
        <v>74364</v>
      </c>
      <c r="M10" s="16">
        <v>81051</v>
      </c>
    </row>
    <row r="11" spans="1:13" ht="25.5" x14ac:dyDescent="0.25">
      <c r="A11" s="1" t="s">
        <v>8</v>
      </c>
      <c r="B11" s="16">
        <v>5530333</v>
      </c>
      <c r="C11" s="3">
        <v>5579447</v>
      </c>
      <c r="D11" s="3">
        <v>5664261</v>
      </c>
      <c r="E11" s="3">
        <v>5696560</v>
      </c>
      <c r="F11" s="5">
        <v>5700287</v>
      </c>
      <c r="G11" s="6">
        <v>6288057</v>
      </c>
      <c r="H11" s="3">
        <v>6104726</v>
      </c>
      <c r="I11" s="3">
        <v>5628545</v>
      </c>
      <c r="J11" s="3">
        <v>5612848</v>
      </c>
      <c r="K11" s="3">
        <v>5665036</v>
      </c>
      <c r="L11" s="3">
        <v>5778247</v>
      </c>
      <c r="M11" s="16">
        <v>5917221</v>
      </c>
    </row>
    <row r="12" spans="1:13" ht="63.75" x14ac:dyDescent="0.25">
      <c r="A12" s="1" t="s">
        <v>9</v>
      </c>
      <c r="B12" s="16">
        <v>199087</v>
      </c>
      <c r="C12" s="3">
        <v>200257</v>
      </c>
      <c r="D12" s="3">
        <v>200257</v>
      </c>
      <c r="E12" s="3">
        <v>200257</v>
      </c>
      <c r="F12" s="5">
        <v>200257</v>
      </c>
      <c r="G12" s="6">
        <v>225927</v>
      </c>
      <c r="H12" s="3">
        <v>225927</v>
      </c>
      <c r="I12" s="3">
        <v>211296</v>
      </c>
      <c r="J12" s="3">
        <v>211136</v>
      </c>
      <c r="K12" s="3">
        <v>211685</v>
      </c>
      <c r="L12" s="3">
        <v>213964</v>
      </c>
      <c r="M12" s="16">
        <v>200257</v>
      </c>
    </row>
    <row r="13" spans="1:13" ht="25.5" x14ac:dyDescent="0.25">
      <c r="A13" s="1" t="s">
        <v>10</v>
      </c>
      <c r="B13" s="16">
        <v>5729420</v>
      </c>
      <c r="C13" s="3">
        <v>5779704</v>
      </c>
      <c r="D13" s="3">
        <v>5864518</v>
      </c>
      <c r="E13" s="3">
        <v>5896817</v>
      </c>
      <c r="F13" s="5">
        <v>5900544</v>
      </c>
      <c r="G13" s="6">
        <v>6513984</v>
      </c>
      <c r="H13" s="3">
        <v>6330653</v>
      </c>
      <c r="I13" s="3">
        <v>5839841</v>
      </c>
      <c r="J13" s="3">
        <v>5823984</v>
      </c>
      <c r="K13" s="3">
        <v>5876721</v>
      </c>
      <c r="L13" s="3">
        <v>5992211</v>
      </c>
      <c r="M13" s="16">
        <v>6117478</v>
      </c>
    </row>
    <row r="14" spans="1:13" ht="51" x14ac:dyDescent="0.25">
      <c r="A14" s="1" t="s">
        <v>11</v>
      </c>
      <c r="B14" s="16">
        <v>16364701</v>
      </c>
      <c r="C14" s="3">
        <v>16513885</v>
      </c>
      <c r="D14" s="3">
        <v>16668966</v>
      </c>
      <c r="E14" s="3">
        <v>16986639</v>
      </c>
      <c r="F14" s="5">
        <v>17066523</v>
      </c>
      <c r="G14" s="6">
        <v>19413975</v>
      </c>
      <c r="H14" s="3">
        <v>19485726</v>
      </c>
      <c r="I14" s="3">
        <v>17697364</v>
      </c>
      <c r="J14" s="3">
        <v>17749453</v>
      </c>
      <c r="K14" s="3">
        <v>17940702</v>
      </c>
      <c r="L14" s="3">
        <v>18028497</v>
      </c>
      <c r="M14" s="16">
        <v>18338335</v>
      </c>
    </row>
    <row r="15" spans="1:13" x14ac:dyDescent="0.25">
      <c r="A15" s="1"/>
      <c r="B15" s="16"/>
      <c r="C15" s="3"/>
      <c r="D15" s="3"/>
      <c r="E15" s="3"/>
      <c r="F15" s="13"/>
      <c r="G15" s="7">
        <v>-19503372</v>
      </c>
      <c r="H15" s="12">
        <v>-19568928</v>
      </c>
      <c r="I15" s="12">
        <v>-17844160</v>
      </c>
      <c r="J15" s="11">
        <v>-17891449</v>
      </c>
      <c r="K15" s="10">
        <v>-18074897</v>
      </c>
      <c r="L15" s="9">
        <v>-18156731</v>
      </c>
      <c r="M15" s="7">
        <v>-18459622</v>
      </c>
    </row>
    <row r="16" spans="1:13" ht="25.5" x14ac:dyDescent="0.25">
      <c r="A16" s="1" t="s">
        <v>12</v>
      </c>
      <c r="B16" s="16">
        <v>21895034</v>
      </c>
      <c r="C16" s="3">
        <v>22093331</v>
      </c>
      <c r="D16" s="3">
        <v>22333227</v>
      </c>
      <c r="E16" s="3">
        <v>22683199</v>
      </c>
      <c r="F16" s="5">
        <v>22766810</v>
      </c>
      <c r="G16" s="6">
        <v>25702033</v>
      </c>
      <c r="H16" s="3">
        <v>25590453</v>
      </c>
      <c r="I16" s="3">
        <v>23325909</v>
      </c>
      <c r="J16" s="3">
        <v>23362301</v>
      </c>
      <c r="K16" s="3">
        <v>23605738</v>
      </c>
      <c r="L16" s="3">
        <v>23806744</v>
      </c>
      <c r="M16" s="16">
        <v>24255556</v>
      </c>
    </row>
    <row r="17" spans="1:13" x14ac:dyDescent="0.25">
      <c r="A17" s="1"/>
      <c r="B17" s="16"/>
      <c r="C17" s="3"/>
      <c r="D17" s="3"/>
      <c r="E17" s="15"/>
      <c r="F17" s="13"/>
      <c r="G17" s="7">
        <v>-25791429</v>
      </c>
      <c r="H17" s="12">
        <v>-25673654</v>
      </c>
      <c r="I17" s="12">
        <v>-23472705</v>
      </c>
      <c r="J17" s="11">
        <v>-23504298</v>
      </c>
      <c r="K17" s="10">
        <v>-23739933</v>
      </c>
      <c r="L17" s="9">
        <v>-23934978</v>
      </c>
      <c r="M17" s="7">
        <v>-24376843</v>
      </c>
    </row>
    <row r="18" spans="1:13" ht="51" x14ac:dyDescent="0.25">
      <c r="A18" s="1" t="s">
        <v>13</v>
      </c>
      <c r="B18" s="16">
        <v>1105137</v>
      </c>
      <c r="C18" s="3">
        <v>1113230</v>
      </c>
      <c r="D18" s="3">
        <v>1113230</v>
      </c>
      <c r="E18" s="3">
        <v>1113230</v>
      </c>
      <c r="F18" s="5">
        <v>1113230</v>
      </c>
      <c r="G18" s="6">
        <v>1298623</v>
      </c>
      <c r="H18" s="3">
        <v>1298623</v>
      </c>
      <c r="I18" s="3">
        <v>1216324</v>
      </c>
      <c r="J18" s="3">
        <v>1225055</v>
      </c>
      <c r="K18" s="3">
        <v>1235171</v>
      </c>
      <c r="L18" s="3">
        <v>1247555</v>
      </c>
      <c r="M18" s="16">
        <v>1113230</v>
      </c>
    </row>
    <row r="19" spans="1:13" ht="25.5" x14ac:dyDescent="0.25">
      <c r="A19" s="1" t="s">
        <v>14</v>
      </c>
      <c r="B19" s="16">
        <v>23000171</v>
      </c>
      <c r="C19" s="3">
        <v>23206561</v>
      </c>
      <c r="D19" s="3">
        <v>23446457</v>
      </c>
      <c r="E19" s="3">
        <v>23796429</v>
      </c>
      <c r="F19" s="5">
        <v>23880040</v>
      </c>
      <c r="G19" s="6">
        <v>27000656</v>
      </c>
      <c r="H19" s="3">
        <v>26889076</v>
      </c>
      <c r="I19" s="3">
        <v>24542233</v>
      </c>
      <c r="J19" s="3">
        <v>24587356</v>
      </c>
      <c r="K19" s="3">
        <v>24840909</v>
      </c>
      <c r="L19" s="3">
        <v>25054299</v>
      </c>
      <c r="M19" s="16">
        <v>25368786</v>
      </c>
    </row>
    <row r="20" spans="1:13" x14ac:dyDescent="0.25">
      <c r="B20" s="16"/>
      <c r="C20" s="3"/>
      <c r="D20" s="3"/>
      <c r="E20" s="15"/>
      <c r="F20" s="13"/>
      <c r="G20" s="7">
        <v>-27090052</v>
      </c>
      <c r="H20" s="12">
        <v>-26972277</v>
      </c>
      <c r="I20" s="12">
        <v>-24689029</v>
      </c>
      <c r="J20" s="11">
        <v>-24729353</v>
      </c>
      <c r="K20" s="10">
        <v>-24975104</v>
      </c>
      <c r="L20" s="9">
        <v>-25182533</v>
      </c>
      <c r="M20" s="7">
        <v>-25490073</v>
      </c>
    </row>
    <row r="23" spans="1:13" x14ac:dyDescent="0.25">
      <c r="A23" t="s">
        <v>138</v>
      </c>
      <c r="K23" s="3">
        <v>23605738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EA26-8C05-4D61-B7E0-5576AA5CCBBD}">
  <dimension ref="A1:M19"/>
  <sheetViews>
    <sheetView workbookViewId="0">
      <pane ySplit="1" topLeftCell="A4" activePane="bottomLeft" state="frozen"/>
      <selection pane="bottomLeft" activeCell="B7" sqref="B7:M7"/>
    </sheetView>
  </sheetViews>
  <sheetFormatPr defaultRowHeight="15" x14ac:dyDescent="0.25"/>
  <cols>
    <col min="13" max="13" width="9.7109375" bestFit="1" customWidth="1"/>
  </cols>
  <sheetData>
    <row r="1" spans="1:13" x14ac:dyDescent="0.25">
      <c r="A1" s="2" t="s">
        <v>15</v>
      </c>
      <c r="B1" s="14" t="s">
        <v>64</v>
      </c>
      <c r="C1" s="14" t="s">
        <v>65</v>
      </c>
      <c r="D1" s="14" t="s">
        <v>66</v>
      </c>
      <c r="E1" s="14" t="s">
        <v>67</v>
      </c>
      <c r="F1" s="14" t="s">
        <v>68</v>
      </c>
      <c r="G1" s="14" t="s">
        <v>69</v>
      </c>
      <c r="H1" s="14" t="s">
        <v>70</v>
      </c>
      <c r="I1" s="14" t="s">
        <v>71</v>
      </c>
      <c r="J1" s="14" t="s">
        <v>72</v>
      </c>
      <c r="K1" s="14" t="s">
        <v>73</v>
      </c>
      <c r="L1" s="14" t="s">
        <v>74</v>
      </c>
      <c r="M1" s="14" t="s">
        <v>75</v>
      </c>
    </row>
    <row r="2" spans="1:13" ht="89.25" x14ac:dyDescent="0.25">
      <c r="A2" s="1" t="s">
        <v>0</v>
      </c>
      <c r="B2" s="16">
        <v>2931921</v>
      </c>
      <c r="C2" s="16">
        <v>2980565</v>
      </c>
      <c r="D2" s="3">
        <v>3037622</v>
      </c>
      <c r="E2" s="3">
        <v>3093159</v>
      </c>
      <c r="F2" s="3">
        <v>3117960</v>
      </c>
      <c r="G2" s="3">
        <v>3104151</v>
      </c>
      <c r="H2" s="3">
        <v>3063746</v>
      </c>
      <c r="I2" s="3">
        <v>3062479</v>
      </c>
      <c r="J2" s="3">
        <v>3044594</v>
      </c>
      <c r="K2" s="3">
        <v>3088753</v>
      </c>
      <c r="L2" s="3">
        <v>3093618</v>
      </c>
      <c r="M2">
        <v>3255680</v>
      </c>
    </row>
    <row r="3" spans="1:13" ht="51" x14ac:dyDescent="0.25">
      <c r="A3" s="1" t="s">
        <v>1</v>
      </c>
      <c r="B3" s="16">
        <v>3004604</v>
      </c>
      <c r="C3" s="16">
        <v>3052620</v>
      </c>
      <c r="D3" s="3">
        <v>3107637</v>
      </c>
      <c r="E3" s="3">
        <v>3181381</v>
      </c>
      <c r="F3" s="3">
        <v>3197840</v>
      </c>
      <c r="G3" s="3">
        <v>3198495</v>
      </c>
      <c r="H3" s="3">
        <v>3156104</v>
      </c>
      <c r="I3" s="3">
        <v>3154428</v>
      </c>
      <c r="J3" s="3">
        <v>3138282</v>
      </c>
      <c r="K3" s="3">
        <v>3189311</v>
      </c>
      <c r="L3" s="3">
        <v>3189066</v>
      </c>
      <c r="M3">
        <v>3330296</v>
      </c>
    </row>
    <row r="4" spans="1:13" ht="63.75" x14ac:dyDescent="0.25">
      <c r="A4" s="1" t="s">
        <v>2</v>
      </c>
      <c r="B4" s="16">
        <v>27021</v>
      </c>
      <c r="C4" s="16">
        <v>27139</v>
      </c>
      <c r="D4" s="3">
        <v>27270</v>
      </c>
      <c r="E4" s="3">
        <v>27270</v>
      </c>
      <c r="F4" s="3">
        <v>27417</v>
      </c>
      <c r="G4" s="3">
        <v>27550</v>
      </c>
      <c r="H4" s="3">
        <v>27868</v>
      </c>
      <c r="I4" s="3">
        <v>28048</v>
      </c>
      <c r="J4" s="3">
        <v>28048</v>
      </c>
      <c r="K4" s="3">
        <v>28260</v>
      </c>
      <c r="L4" s="3">
        <v>28469</v>
      </c>
      <c r="M4">
        <v>31521</v>
      </c>
    </row>
    <row r="5" spans="1:13" ht="63.75" x14ac:dyDescent="0.25">
      <c r="A5" s="1" t="s">
        <v>3</v>
      </c>
      <c r="B5" s="16">
        <v>743</v>
      </c>
      <c r="C5" s="16">
        <v>743</v>
      </c>
      <c r="D5" s="3">
        <v>743</v>
      </c>
      <c r="E5" s="3">
        <v>743</v>
      </c>
      <c r="F5" s="3">
        <v>743</v>
      </c>
      <c r="G5" s="3">
        <v>743</v>
      </c>
      <c r="H5" s="3">
        <v>743</v>
      </c>
      <c r="I5" s="3">
        <v>743</v>
      </c>
      <c r="J5" s="3">
        <v>743</v>
      </c>
      <c r="K5" s="3">
        <v>743</v>
      </c>
      <c r="L5" s="3">
        <v>743</v>
      </c>
      <c r="M5">
        <v>743</v>
      </c>
    </row>
    <row r="6" spans="1:13" ht="51" x14ac:dyDescent="0.25">
      <c r="A6" s="1" t="s">
        <v>4</v>
      </c>
      <c r="B6" s="16">
        <v>100447</v>
      </c>
      <c r="C6" s="16">
        <v>99937</v>
      </c>
      <c r="D6" s="3">
        <v>98028</v>
      </c>
      <c r="E6" s="3">
        <v>116236</v>
      </c>
      <c r="F6" s="3">
        <v>108039</v>
      </c>
      <c r="G6" s="3">
        <v>122637</v>
      </c>
      <c r="H6" s="3">
        <v>120969</v>
      </c>
      <c r="I6" s="3">
        <v>120740</v>
      </c>
      <c r="J6" s="3">
        <v>122480</v>
      </c>
      <c r="K6" s="3">
        <v>129561</v>
      </c>
      <c r="L6" s="3">
        <v>124807</v>
      </c>
      <c r="M6">
        <v>106983</v>
      </c>
    </row>
    <row r="7" spans="1:13" ht="25.5" x14ac:dyDescent="0.25">
      <c r="A7" s="1" t="s">
        <v>144</v>
      </c>
      <c r="B7" s="16">
        <f>B3+B4+B5+B6</f>
        <v>3132815</v>
      </c>
      <c r="C7" s="16">
        <f t="shared" ref="C7:L7" si="0">C3+C4+C5+C6</f>
        <v>3180439</v>
      </c>
      <c r="D7" s="16">
        <f t="shared" si="0"/>
        <v>3233678</v>
      </c>
      <c r="E7" s="16">
        <f t="shared" si="0"/>
        <v>3325630</v>
      </c>
      <c r="F7" s="16">
        <f t="shared" si="0"/>
        <v>3334039</v>
      </c>
      <c r="G7" s="16">
        <f t="shared" si="0"/>
        <v>3349425</v>
      </c>
      <c r="H7" s="16">
        <f t="shared" si="0"/>
        <v>3305684</v>
      </c>
      <c r="I7" s="16">
        <f t="shared" si="0"/>
        <v>3303959</v>
      </c>
      <c r="J7" s="16">
        <f t="shared" si="0"/>
        <v>3289553</v>
      </c>
      <c r="K7" s="16">
        <f t="shared" si="0"/>
        <v>3347875</v>
      </c>
      <c r="L7" s="16">
        <f t="shared" si="0"/>
        <v>3343085</v>
      </c>
      <c r="M7" s="16">
        <f>M3+M4+M5+M6</f>
        <v>3469543</v>
      </c>
    </row>
    <row r="8" spans="1:13" ht="51" x14ac:dyDescent="0.25">
      <c r="A8" s="1" t="s">
        <v>5</v>
      </c>
      <c r="B8" s="16">
        <v>2103135</v>
      </c>
      <c r="C8" s="16">
        <v>2157809</v>
      </c>
      <c r="D8" s="3">
        <v>2265371</v>
      </c>
      <c r="E8" s="3">
        <v>2193027</v>
      </c>
      <c r="F8" s="3">
        <v>2180138</v>
      </c>
      <c r="G8" s="3">
        <v>2141695</v>
      </c>
      <c r="H8" s="3">
        <v>2240452</v>
      </c>
      <c r="I8" s="3">
        <v>2221176</v>
      </c>
      <c r="J8" s="3">
        <v>2183446</v>
      </c>
      <c r="K8" s="3">
        <v>2237215</v>
      </c>
      <c r="L8" s="3">
        <v>2262770</v>
      </c>
      <c r="M8">
        <v>2661541</v>
      </c>
    </row>
    <row r="9" spans="1:13" ht="63.75" x14ac:dyDescent="0.25">
      <c r="A9" s="1" t="s">
        <v>6</v>
      </c>
      <c r="B9" s="16">
        <v>2050497</v>
      </c>
      <c r="C9" s="16">
        <v>2103056</v>
      </c>
      <c r="D9" s="3">
        <v>2212992</v>
      </c>
      <c r="E9" s="3">
        <v>2135459</v>
      </c>
      <c r="F9" s="3">
        <v>2126310</v>
      </c>
      <c r="G9" s="3">
        <v>2087340</v>
      </c>
      <c r="H9" s="3">
        <v>2183209</v>
      </c>
      <c r="I9" s="3">
        <v>2163987</v>
      </c>
      <c r="J9" s="3">
        <v>2120902</v>
      </c>
      <c r="K9" s="3">
        <v>2167214</v>
      </c>
      <c r="L9" s="3">
        <v>2192060</v>
      </c>
      <c r="M9">
        <v>2580490</v>
      </c>
    </row>
    <row r="10" spans="1:13" ht="76.5" x14ac:dyDescent="0.25">
      <c r="A10" s="1" t="s">
        <v>7</v>
      </c>
      <c r="B10" s="16">
        <v>52638</v>
      </c>
      <c r="C10" s="16">
        <v>54752</v>
      </c>
      <c r="D10" s="3">
        <v>52379</v>
      </c>
      <c r="E10" s="3">
        <v>57568</v>
      </c>
      <c r="F10" s="3">
        <v>53828</v>
      </c>
      <c r="G10" s="3">
        <v>54355</v>
      </c>
      <c r="H10" s="3">
        <v>57244</v>
      </c>
      <c r="I10" s="3">
        <v>57189</v>
      </c>
      <c r="J10" s="3">
        <v>62544</v>
      </c>
      <c r="K10" s="3">
        <v>70001</v>
      </c>
      <c r="L10" s="3">
        <v>70709</v>
      </c>
      <c r="M10">
        <v>81051</v>
      </c>
    </row>
    <row r="11" spans="1:13" ht="25.5" x14ac:dyDescent="0.25">
      <c r="A11" s="1" t="s">
        <v>8</v>
      </c>
      <c r="B11" s="16">
        <v>5035056</v>
      </c>
      <c r="C11" s="16">
        <v>5138374</v>
      </c>
      <c r="D11" s="3">
        <v>5302993</v>
      </c>
      <c r="E11" s="3">
        <v>5286186</v>
      </c>
      <c r="F11" s="3">
        <v>5298098</v>
      </c>
      <c r="G11" s="3">
        <v>5245846</v>
      </c>
      <c r="H11" s="3">
        <v>5304199</v>
      </c>
      <c r="I11" s="3">
        <v>5283655</v>
      </c>
      <c r="J11" s="3">
        <v>5228040</v>
      </c>
      <c r="K11" s="3">
        <v>5325968</v>
      </c>
      <c r="L11" s="3">
        <v>5356388</v>
      </c>
      <c r="M11">
        <v>5917221</v>
      </c>
    </row>
    <row r="12" spans="1:13" ht="63.75" x14ac:dyDescent="0.25">
      <c r="A12" s="1" t="s">
        <v>9</v>
      </c>
      <c r="B12" s="16">
        <v>180978</v>
      </c>
      <c r="C12" s="16">
        <v>182889</v>
      </c>
      <c r="D12" s="3">
        <v>188433</v>
      </c>
      <c r="E12" s="3">
        <v>190357</v>
      </c>
      <c r="F12" s="3">
        <v>190438</v>
      </c>
      <c r="G12" s="3">
        <v>193247</v>
      </c>
      <c r="H12" s="3">
        <v>194162</v>
      </c>
      <c r="I12" s="3">
        <v>194961</v>
      </c>
      <c r="J12" s="3">
        <v>196440</v>
      </c>
      <c r="K12" s="3">
        <v>196446</v>
      </c>
      <c r="L12" s="3">
        <v>196053</v>
      </c>
      <c r="M12">
        <v>200257</v>
      </c>
    </row>
    <row r="13" spans="1:13" ht="25.5" x14ac:dyDescent="0.25">
      <c r="A13" s="1" t="s">
        <v>10</v>
      </c>
      <c r="B13" s="16">
        <v>5216034</v>
      </c>
      <c r="C13" s="16">
        <v>5321263</v>
      </c>
      <c r="D13" s="3">
        <v>5491426</v>
      </c>
      <c r="E13" s="3">
        <v>5476543</v>
      </c>
      <c r="F13" s="3">
        <v>5488536</v>
      </c>
      <c r="G13" s="3">
        <v>5439093</v>
      </c>
      <c r="H13" s="3">
        <v>5498361</v>
      </c>
      <c r="I13" s="3">
        <v>5478616</v>
      </c>
      <c r="J13" s="3">
        <v>5424480</v>
      </c>
      <c r="K13" s="3">
        <v>5522414</v>
      </c>
      <c r="L13" s="3">
        <v>5552441</v>
      </c>
      <c r="M13">
        <v>6117478</v>
      </c>
    </row>
    <row r="14" spans="1:13" ht="51" x14ac:dyDescent="0.25">
      <c r="A14" s="1" t="s">
        <v>11</v>
      </c>
      <c r="B14" s="16">
        <v>14912628</v>
      </c>
      <c r="C14" s="16">
        <v>15045154</v>
      </c>
      <c r="D14" s="3">
        <v>15186605</v>
      </c>
      <c r="E14" s="3">
        <v>15425862</v>
      </c>
      <c r="F14" s="3">
        <v>15384209</v>
      </c>
      <c r="G14" s="3">
        <v>15417971</v>
      </c>
      <c r="H14" s="3">
        <v>15728149</v>
      </c>
      <c r="I14" s="3">
        <v>15767768</v>
      </c>
      <c r="J14" s="3">
        <v>15844856</v>
      </c>
      <c r="K14" s="3">
        <v>15975981</v>
      </c>
      <c r="L14" s="3">
        <v>16043534</v>
      </c>
      <c r="M14">
        <v>18338335</v>
      </c>
    </row>
    <row r="15" spans="1:13" ht="25.5" x14ac:dyDescent="0.25">
      <c r="A15" s="1" t="s">
        <v>12</v>
      </c>
      <c r="B15" s="16">
        <v>19947684</v>
      </c>
      <c r="C15" s="16">
        <v>20183528</v>
      </c>
      <c r="D15" s="3">
        <v>20489597</v>
      </c>
      <c r="E15" s="3">
        <v>20712048</v>
      </c>
      <c r="F15" s="3">
        <v>20682307</v>
      </c>
      <c r="G15" s="3">
        <v>20663817</v>
      </c>
      <c r="H15" s="3">
        <v>21032348</v>
      </c>
      <c r="I15" s="3">
        <v>21051423</v>
      </c>
      <c r="J15" s="3">
        <v>21072896</v>
      </c>
      <c r="K15" s="3">
        <v>21301949</v>
      </c>
      <c r="L15" s="3">
        <v>21399921</v>
      </c>
      <c r="M15">
        <v>24255556</v>
      </c>
    </row>
    <row r="16" spans="1:13" ht="51" x14ac:dyDescent="0.25">
      <c r="A16" s="1" t="s">
        <v>13</v>
      </c>
      <c r="B16" s="16">
        <v>980521</v>
      </c>
      <c r="C16" s="16">
        <v>990274</v>
      </c>
      <c r="D16" s="3">
        <v>1012241</v>
      </c>
      <c r="E16" s="3">
        <v>1022570</v>
      </c>
      <c r="F16" s="3">
        <v>1032181</v>
      </c>
      <c r="G16" s="3">
        <v>1044441</v>
      </c>
      <c r="H16" s="3">
        <v>1056254</v>
      </c>
      <c r="I16" s="3">
        <v>1065240</v>
      </c>
      <c r="J16" s="3">
        <v>1074592</v>
      </c>
      <c r="K16" s="3">
        <v>1082287</v>
      </c>
      <c r="L16" s="3">
        <v>1088490</v>
      </c>
      <c r="M16">
        <v>1113230</v>
      </c>
    </row>
    <row r="17" spans="1:13" ht="25.5" x14ac:dyDescent="0.25">
      <c r="A17" s="1" t="s">
        <v>14</v>
      </c>
      <c r="B17" s="16">
        <v>20928205</v>
      </c>
      <c r="C17" s="16">
        <v>21173802</v>
      </c>
      <c r="D17" s="3">
        <v>21501838</v>
      </c>
      <c r="E17" s="3">
        <v>21734618</v>
      </c>
      <c r="F17" s="3">
        <v>21714488</v>
      </c>
      <c r="G17" s="3">
        <v>21708258</v>
      </c>
      <c r="H17" s="3">
        <v>22088602</v>
      </c>
      <c r="I17" s="3">
        <v>22116663</v>
      </c>
      <c r="J17" s="3">
        <v>22147488</v>
      </c>
      <c r="K17" s="3">
        <v>22384236</v>
      </c>
      <c r="L17" s="3">
        <v>22488411</v>
      </c>
      <c r="M17">
        <v>25368786</v>
      </c>
    </row>
    <row r="19" spans="1:13" x14ac:dyDescent="0.25">
      <c r="A19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91C7-AD6E-4D23-976B-D81A0D92606B}">
  <dimension ref="A1:M20"/>
  <sheetViews>
    <sheetView zoomScale="80" workbookViewId="0">
      <pane ySplit="1" topLeftCell="A2" activePane="bottomLeft" state="frozen"/>
      <selection pane="bottomLeft" activeCell="B7" sqref="B7:M7"/>
    </sheetView>
  </sheetViews>
  <sheetFormatPr defaultRowHeight="15" x14ac:dyDescent="0.25"/>
  <cols>
    <col min="2" max="13" width="9.85546875" bestFit="1" customWidth="1"/>
  </cols>
  <sheetData>
    <row r="1" spans="1:13" x14ac:dyDescent="0.25">
      <c r="A1" s="2"/>
      <c r="B1" s="14" t="s">
        <v>76</v>
      </c>
      <c r="C1" s="14" t="s">
        <v>77</v>
      </c>
      <c r="D1" s="14" t="s">
        <v>78</v>
      </c>
      <c r="E1" s="14" t="s">
        <v>79</v>
      </c>
      <c r="F1" s="14" t="s">
        <v>80</v>
      </c>
      <c r="G1" s="14" t="s">
        <v>81</v>
      </c>
      <c r="H1" s="14" t="s">
        <v>82</v>
      </c>
      <c r="I1" s="14" t="s">
        <v>83</v>
      </c>
      <c r="J1" s="14" t="s">
        <v>84</v>
      </c>
      <c r="K1" s="14" t="s">
        <v>85</v>
      </c>
      <c r="L1" s="14" t="s">
        <v>86</v>
      </c>
      <c r="M1" s="14" t="s">
        <v>87</v>
      </c>
    </row>
    <row r="2" spans="1:13" ht="89.25" x14ac:dyDescent="0.25">
      <c r="A2" s="1" t="s">
        <v>0</v>
      </c>
      <c r="B2" s="3">
        <v>2707213</v>
      </c>
      <c r="C2" s="3">
        <v>2735085</v>
      </c>
      <c r="D2" s="3">
        <v>2756705</v>
      </c>
      <c r="E2" s="3">
        <v>2802804</v>
      </c>
      <c r="F2" s="3">
        <v>2861264</v>
      </c>
      <c r="G2" s="3">
        <v>2887260</v>
      </c>
      <c r="H2" s="3">
        <v>2839134</v>
      </c>
      <c r="I2" s="16">
        <v>2830825</v>
      </c>
      <c r="J2" s="3">
        <v>2815017</v>
      </c>
      <c r="K2" s="3">
        <v>2825698</v>
      </c>
      <c r="L2" s="3">
        <v>2878246</v>
      </c>
      <c r="M2" s="3">
        <v>2881115</v>
      </c>
    </row>
    <row r="3" spans="1:13" ht="51" x14ac:dyDescent="0.25">
      <c r="A3" s="1" t="s">
        <v>1</v>
      </c>
      <c r="B3" s="3">
        <v>2780045</v>
      </c>
      <c r="C3" s="3">
        <v>2809858</v>
      </c>
      <c r="D3" s="3">
        <v>2831727</v>
      </c>
      <c r="E3" s="3">
        <v>2880247</v>
      </c>
      <c r="F3" s="3">
        <v>2937217</v>
      </c>
      <c r="G3" s="3">
        <v>2961524</v>
      </c>
      <c r="H3" s="3">
        <v>2919525</v>
      </c>
      <c r="I3" s="16">
        <v>2916737</v>
      </c>
      <c r="J3" s="3">
        <v>2897815</v>
      </c>
      <c r="K3" s="3">
        <v>2917700</v>
      </c>
      <c r="L3" s="3">
        <v>2961030</v>
      </c>
      <c r="M3" s="3">
        <v>2959237</v>
      </c>
    </row>
    <row r="4" spans="1:13" ht="63.75" x14ac:dyDescent="0.25">
      <c r="A4" s="1" t="s">
        <v>2</v>
      </c>
      <c r="B4" s="3">
        <v>26004</v>
      </c>
      <c r="C4" s="3">
        <v>26076</v>
      </c>
      <c r="D4" s="3">
        <v>26170</v>
      </c>
      <c r="E4" s="3">
        <v>26170</v>
      </c>
      <c r="F4" s="3">
        <v>26230</v>
      </c>
      <c r="G4" s="3">
        <v>26252</v>
      </c>
      <c r="H4" s="3">
        <v>26381</v>
      </c>
      <c r="I4" s="16">
        <v>26467</v>
      </c>
      <c r="J4" s="3">
        <v>26550</v>
      </c>
      <c r="K4" s="3">
        <v>26550</v>
      </c>
      <c r="L4" s="3">
        <v>26698</v>
      </c>
      <c r="M4" s="3">
        <v>26921</v>
      </c>
    </row>
    <row r="5" spans="1:13" ht="63.75" x14ac:dyDescent="0.25">
      <c r="A5" s="1" t="s">
        <v>3</v>
      </c>
      <c r="B5" s="3">
        <v>743</v>
      </c>
      <c r="C5" s="3">
        <v>743</v>
      </c>
      <c r="D5" s="3">
        <v>743</v>
      </c>
      <c r="E5" s="3">
        <v>743</v>
      </c>
      <c r="F5" s="3">
        <v>743</v>
      </c>
      <c r="G5" s="3">
        <v>743</v>
      </c>
      <c r="H5" s="3">
        <v>743</v>
      </c>
      <c r="I5" s="16">
        <v>743</v>
      </c>
      <c r="J5" s="3">
        <v>743</v>
      </c>
      <c r="K5" s="3">
        <v>743</v>
      </c>
      <c r="L5" s="3">
        <v>743</v>
      </c>
      <c r="M5" s="3">
        <v>743</v>
      </c>
    </row>
    <row r="6" spans="1:13" ht="51" x14ac:dyDescent="0.25">
      <c r="A6" s="1" t="s">
        <v>4</v>
      </c>
      <c r="B6" s="3">
        <v>99579</v>
      </c>
      <c r="C6" s="3">
        <v>101592</v>
      </c>
      <c r="D6" s="3">
        <v>101935</v>
      </c>
      <c r="E6" s="3">
        <v>104355</v>
      </c>
      <c r="F6" s="3">
        <v>102925</v>
      </c>
      <c r="G6" s="3">
        <v>101259</v>
      </c>
      <c r="H6" s="3">
        <v>107515</v>
      </c>
      <c r="I6" s="16">
        <v>113121</v>
      </c>
      <c r="J6" s="3">
        <v>110090</v>
      </c>
      <c r="K6" s="3">
        <v>119294</v>
      </c>
      <c r="L6" s="3">
        <v>110225</v>
      </c>
      <c r="M6" s="3">
        <v>105786</v>
      </c>
    </row>
    <row r="7" spans="1:13" ht="25.5" x14ac:dyDescent="0.25">
      <c r="A7" s="1" t="s">
        <v>145</v>
      </c>
      <c r="B7" s="3">
        <f>B3+B4+B5+B6</f>
        <v>2906371</v>
      </c>
      <c r="C7" s="3">
        <f t="shared" ref="C7:M7" si="0">C3+C4+C5+C6</f>
        <v>2938269</v>
      </c>
      <c r="D7" s="3">
        <f t="shared" si="0"/>
        <v>2960575</v>
      </c>
      <c r="E7" s="3">
        <f t="shared" si="0"/>
        <v>3011515</v>
      </c>
      <c r="F7" s="3">
        <f t="shared" si="0"/>
        <v>3067115</v>
      </c>
      <c r="G7" s="3">
        <f t="shared" si="0"/>
        <v>3089778</v>
      </c>
      <c r="H7" s="3">
        <f t="shared" si="0"/>
        <v>3054164</v>
      </c>
      <c r="I7" s="3">
        <f t="shared" si="0"/>
        <v>3057068</v>
      </c>
      <c r="J7" s="3">
        <f t="shared" si="0"/>
        <v>3035198</v>
      </c>
      <c r="K7" s="3">
        <f t="shared" si="0"/>
        <v>3064287</v>
      </c>
      <c r="L7" s="3">
        <f t="shared" si="0"/>
        <v>3098696</v>
      </c>
      <c r="M7" s="3">
        <f t="shared" si="0"/>
        <v>3092687</v>
      </c>
    </row>
    <row r="8" spans="1:13" ht="51" x14ac:dyDescent="0.25">
      <c r="A8" s="1" t="s">
        <v>5</v>
      </c>
      <c r="B8" s="3">
        <v>1857491</v>
      </c>
      <c r="C8" s="3">
        <v>1869210</v>
      </c>
      <c r="D8" s="3">
        <v>2042467</v>
      </c>
      <c r="E8" s="3">
        <v>1908059</v>
      </c>
      <c r="F8" s="3">
        <v>1879414</v>
      </c>
      <c r="G8" s="3">
        <v>1937646</v>
      </c>
      <c r="H8" s="3">
        <v>2016798</v>
      </c>
      <c r="I8" s="16">
        <v>1972356</v>
      </c>
      <c r="J8" s="3">
        <v>2005398</v>
      </c>
      <c r="K8" s="3">
        <v>2005695</v>
      </c>
      <c r="L8" s="3">
        <v>2005116</v>
      </c>
      <c r="M8" s="3">
        <v>2257098</v>
      </c>
    </row>
    <row r="9" spans="1:13" ht="63.75" x14ac:dyDescent="0.25">
      <c r="A9" s="1" t="s">
        <v>6</v>
      </c>
      <c r="B9" s="3">
        <v>1814269</v>
      </c>
      <c r="C9" s="3">
        <v>1824436</v>
      </c>
      <c r="D9" s="3">
        <v>1995120</v>
      </c>
      <c r="E9" s="3">
        <v>1862550</v>
      </c>
      <c r="F9" s="3">
        <v>1830962</v>
      </c>
      <c r="G9" s="3">
        <v>1887452</v>
      </c>
      <c r="H9" s="3">
        <v>1970701</v>
      </c>
      <c r="I9" s="16">
        <v>1926200</v>
      </c>
      <c r="J9" s="3">
        <v>1958498</v>
      </c>
      <c r="K9" s="3">
        <v>1958530</v>
      </c>
      <c r="L9" s="3">
        <v>1957254</v>
      </c>
      <c r="M9" s="3">
        <v>2206052</v>
      </c>
    </row>
    <row r="10" spans="1:13" ht="76.5" x14ac:dyDescent="0.25">
      <c r="A10" s="1" t="s">
        <v>7</v>
      </c>
      <c r="B10" s="3">
        <v>43222</v>
      </c>
      <c r="C10" s="3">
        <v>44774</v>
      </c>
      <c r="D10" s="3">
        <v>47347</v>
      </c>
      <c r="E10" s="3">
        <v>45509</v>
      </c>
      <c r="F10" s="3">
        <v>48451</v>
      </c>
      <c r="G10" s="3">
        <v>50194</v>
      </c>
      <c r="H10" s="3">
        <v>46097</v>
      </c>
      <c r="I10" s="16">
        <v>46156</v>
      </c>
      <c r="J10" s="3">
        <v>46900</v>
      </c>
      <c r="K10" s="3">
        <v>47165</v>
      </c>
      <c r="L10" s="3">
        <v>47861</v>
      </c>
      <c r="M10" s="3">
        <v>51045</v>
      </c>
    </row>
    <row r="11" spans="1:13" ht="25.5" x14ac:dyDescent="0.25">
      <c r="A11" s="1" t="s">
        <v>8</v>
      </c>
      <c r="B11" s="3">
        <v>4564704</v>
      </c>
      <c r="C11" s="3">
        <v>4604295</v>
      </c>
      <c r="D11" s="3">
        <v>4799173</v>
      </c>
      <c r="E11" s="3">
        <v>4710863</v>
      </c>
      <c r="F11" s="3">
        <v>4740678</v>
      </c>
      <c r="G11" s="3">
        <v>4824907</v>
      </c>
      <c r="H11" s="3">
        <v>4855932</v>
      </c>
      <c r="I11" s="16">
        <v>4803182</v>
      </c>
      <c r="J11" s="3">
        <v>4820415</v>
      </c>
      <c r="K11" s="3">
        <v>4831393</v>
      </c>
      <c r="L11" s="3">
        <v>4883362</v>
      </c>
      <c r="M11" s="3">
        <v>5138213</v>
      </c>
    </row>
    <row r="12" spans="1:13" ht="63.75" x14ac:dyDescent="0.25">
      <c r="A12" s="1" t="s">
        <v>9</v>
      </c>
      <c r="B12" s="3">
        <v>165101</v>
      </c>
      <c r="C12" s="3">
        <v>165897</v>
      </c>
      <c r="D12" s="3">
        <v>170853</v>
      </c>
      <c r="E12" s="3">
        <v>170853</v>
      </c>
      <c r="F12" s="3">
        <v>171030</v>
      </c>
      <c r="G12" s="3">
        <v>172973</v>
      </c>
      <c r="H12" s="3">
        <v>174061</v>
      </c>
      <c r="I12" s="16">
        <v>174689</v>
      </c>
      <c r="J12" s="3">
        <v>176577</v>
      </c>
      <c r="K12" s="3">
        <v>177164</v>
      </c>
      <c r="L12" s="3">
        <v>176807</v>
      </c>
      <c r="M12" s="3">
        <v>179437</v>
      </c>
    </row>
    <row r="13" spans="1:13" ht="25.5" x14ac:dyDescent="0.25">
      <c r="A13" s="1" t="s">
        <v>10</v>
      </c>
      <c r="B13" s="3">
        <v>4729805</v>
      </c>
      <c r="C13" s="3">
        <v>4770192</v>
      </c>
      <c r="D13" s="3">
        <v>4970026</v>
      </c>
      <c r="E13" s="3">
        <v>4881716</v>
      </c>
      <c r="F13" s="3">
        <v>4911708</v>
      </c>
      <c r="G13" s="3">
        <v>4997880</v>
      </c>
      <c r="H13" s="3">
        <v>5029993</v>
      </c>
      <c r="I13" s="16">
        <v>4977871</v>
      </c>
      <c r="J13" s="3">
        <v>4996992</v>
      </c>
      <c r="K13" s="3">
        <v>5008557</v>
      </c>
      <c r="L13" s="3">
        <v>5060169</v>
      </c>
      <c r="M13" s="3">
        <v>5317650</v>
      </c>
    </row>
    <row r="14" spans="1:13" ht="51" x14ac:dyDescent="0.25">
      <c r="A14" s="1" t="s">
        <v>11</v>
      </c>
      <c r="B14" s="3">
        <v>13841962</v>
      </c>
      <c r="C14" s="3">
        <v>13959469</v>
      </c>
      <c r="D14" s="3">
        <v>14050278</v>
      </c>
      <c r="E14" s="3">
        <v>14208174</v>
      </c>
      <c r="F14" s="3">
        <v>14271448</v>
      </c>
      <c r="G14" s="3">
        <v>14344659</v>
      </c>
      <c r="H14" s="3">
        <v>14516843</v>
      </c>
      <c r="I14" s="16">
        <v>14527245</v>
      </c>
      <c r="J14" s="3">
        <v>14575874</v>
      </c>
      <c r="K14" s="3">
        <v>14691721</v>
      </c>
      <c r="L14" s="3">
        <v>14762272</v>
      </c>
      <c r="M14" s="3">
        <v>14975823</v>
      </c>
    </row>
    <row r="15" spans="1:13" ht="25.5" x14ac:dyDescent="0.25">
      <c r="A15" s="1" t="s">
        <v>12</v>
      </c>
      <c r="B15" s="3">
        <v>18406666</v>
      </c>
      <c r="C15" s="3">
        <v>18563764</v>
      </c>
      <c r="D15" s="3">
        <v>18849451</v>
      </c>
      <c r="E15" s="3">
        <v>18919037</v>
      </c>
      <c r="F15" s="3">
        <v>19012126</v>
      </c>
      <c r="G15" s="3">
        <v>19169565</v>
      </c>
      <c r="H15" s="3">
        <v>19372776</v>
      </c>
      <c r="I15" s="16">
        <v>19330427</v>
      </c>
      <c r="J15" s="3">
        <v>19396289</v>
      </c>
      <c r="K15" s="3">
        <v>19523114</v>
      </c>
      <c r="L15" s="3">
        <v>19645634</v>
      </c>
      <c r="M15" s="3">
        <v>20114036</v>
      </c>
    </row>
    <row r="16" spans="1:13" ht="51" x14ac:dyDescent="0.25">
      <c r="A16" s="1" t="s">
        <v>13</v>
      </c>
      <c r="B16" s="3">
        <v>494606</v>
      </c>
      <c r="C16" s="3">
        <v>500174</v>
      </c>
      <c r="D16" s="3">
        <v>509544</v>
      </c>
      <c r="E16" s="3">
        <v>510435</v>
      </c>
      <c r="F16" s="3">
        <v>883157</v>
      </c>
      <c r="G16" s="3">
        <v>897007</v>
      </c>
      <c r="H16" s="3">
        <v>910439</v>
      </c>
      <c r="I16" s="16">
        <v>922935</v>
      </c>
      <c r="J16" s="3">
        <v>936317</v>
      </c>
      <c r="K16" s="3">
        <v>946407</v>
      </c>
      <c r="L16" s="3">
        <v>955992</v>
      </c>
      <c r="M16" s="3">
        <v>969847</v>
      </c>
    </row>
    <row r="17" spans="1:13" ht="25.5" x14ac:dyDescent="0.25">
      <c r="A17" s="1" t="s">
        <v>14</v>
      </c>
      <c r="B17" s="3">
        <v>18901272</v>
      </c>
      <c r="C17" s="3">
        <v>19063938</v>
      </c>
      <c r="D17" s="3">
        <v>19358995</v>
      </c>
      <c r="E17" s="3">
        <v>19429472</v>
      </c>
      <c r="F17" s="3">
        <v>19895283</v>
      </c>
      <c r="G17" s="3">
        <v>20066572</v>
      </c>
      <c r="H17" s="3">
        <v>20283215</v>
      </c>
      <c r="I17" s="16">
        <v>20253362</v>
      </c>
      <c r="J17" s="3">
        <v>20332606</v>
      </c>
      <c r="K17" s="3">
        <v>20469521</v>
      </c>
      <c r="L17" s="3">
        <v>20601626</v>
      </c>
      <c r="M17" s="3">
        <v>21083883</v>
      </c>
    </row>
    <row r="20" spans="1:13" x14ac:dyDescent="0.25">
      <c r="A20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BAE7-521B-49CF-B55B-0627FF31F60E}">
  <dimension ref="A1:M19"/>
  <sheetViews>
    <sheetView workbookViewId="0">
      <pane ySplit="1" topLeftCell="A3" activePane="bottomLeft" state="frozen"/>
      <selection pane="bottomLeft" activeCell="B7" sqref="B7:M7"/>
    </sheetView>
  </sheetViews>
  <sheetFormatPr defaultRowHeight="15" x14ac:dyDescent="0.25"/>
  <sheetData>
    <row r="1" spans="1:13" x14ac:dyDescent="0.25">
      <c r="A1" s="2" t="s">
        <v>15</v>
      </c>
      <c r="B1" s="14" t="s">
        <v>88</v>
      </c>
      <c r="C1" s="14" t="s">
        <v>89</v>
      </c>
      <c r="D1" s="14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s="14" t="s">
        <v>96</v>
      </c>
      <c r="K1" s="14" t="s">
        <v>97</v>
      </c>
      <c r="L1" s="14" t="s">
        <v>98</v>
      </c>
      <c r="M1" s="14" t="s">
        <v>99</v>
      </c>
    </row>
    <row r="2" spans="1:13" ht="89.25" x14ac:dyDescent="0.25">
      <c r="A2" s="1" t="s">
        <v>0</v>
      </c>
      <c r="B2" s="3">
        <v>2218775</v>
      </c>
      <c r="C2" s="3">
        <v>2255426</v>
      </c>
      <c r="D2" s="3">
        <v>2341744</v>
      </c>
      <c r="E2" s="3">
        <v>2424621</v>
      </c>
      <c r="F2" s="3">
        <v>2512742</v>
      </c>
      <c r="G2" s="3">
        <v>2567008</v>
      </c>
      <c r="H2" s="3">
        <v>2576293</v>
      </c>
      <c r="I2" s="3">
        <v>2583111</v>
      </c>
      <c r="J2" s="3">
        <v>2585212</v>
      </c>
      <c r="K2" s="3">
        <v>2619578</v>
      </c>
      <c r="L2" s="3">
        <v>2673534</v>
      </c>
      <c r="M2" s="3">
        <v>2681512</v>
      </c>
    </row>
    <row r="3" spans="1:13" ht="51" x14ac:dyDescent="0.25">
      <c r="A3" s="1" t="s">
        <v>1</v>
      </c>
      <c r="B3" s="3">
        <v>2284695</v>
      </c>
      <c r="C3" s="3">
        <v>2321924</v>
      </c>
      <c r="D3" s="3">
        <v>2412993</v>
      </c>
      <c r="E3" s="3">
        <v>2496611</v>
      </c>
      <c r="F3" s="3">
        <v>2584761</v>
      </c>
      <c r="G3" s="3">
        <v>2634218</v>
      </c>
      <c r="H3" s="3">
        <v>2646131</v>
      </c>
      <c r="I3" s="3">
        <v>2654096</v>
      </c>
      <c r="J3" s="3">
        <v>2656476</v>
      </c>
      <c r="K3" s="3">
        <v>2688064</v>
      </c>
      <c r="L3" s="3">
        <v>2743952</v>
      </c>
      <c r="M3" s="3">
        <v>2749859</v>
      </c>
    </row>
    <row r="4" spans="1:13" ht="63.75" x14ac:dyDescent="0.25">
      <c r="A4" s="1" t="s">
        <v>2</v>
      </c>
      <c r="B4" s="3">
        <v>25537</v>
      </c>
      <c r="C4" s="3">
        <v>25572</v>
      </c>
      <c r="D4" s="3">
        <v>25572</v>
      </c>
      <c r="E4" s="3">
        <v>25572</v>
      </c>
      <c r="F4" s="3">
        <v>25572</v>
      </c>
      <c r="G4" s="3">
        <v>25572</v>
      </c>
      <c r="H4" s="3">
        <v>25686</v>
      </c>
      <c r="I4" s="3">
        <v>25708</v>
      </c>
      <c r="J4" s="3">
        <v>25708</v>
      </c>
      <c r="K4" s="3">
        <v>25738</v>
      </c>
      <c r="L4" s="3">
        <v>25798</v>
      </c>
      <c r="M4" s="3">
        <v>25875</v>
      </c>
    </row>
    <row r="5" spans="1:13" ht="63.75" x14ac:dyDescent="0.25">
      <c r="A5" s="1" t="s">
        <v>3</v>
      </c>
      <c r="B5" s="3">
        <v>743</v>
      </c>
      <c r="C5" s="3">
        <v>743</v>
      </c>
      <c r="D5" s="3">
        <v>743</v>
      </c>
      <c r="E5" s="3">
        <v>743</v>
      </c>
      <c r="F5" s="3">
        <v>743</v>
      </c>
      <c r="G5" s="3">
        <v>743</v>
      </c>
      <c r="H5" s="3">
        <v>743</v>
      </c>
      <c r="I5" s="3">
        <v>743</v>
      </c>
      <c r="J5" s="3">
        <v>743</v>
      </c>
      <c r="K5" s="3">
        <v>743</v>
      </c>
      <c r="L5" s="3">
        <v>743</v>
      </c>
      <c r="M5" s="3">
        <v>743</v>
      </c>
    </row>
    <row r="6" spans="1:13" ht="51" x14ac:dyDescent="0.25">
      <c r="A6" s="1" t="s">
        <v>4</v>
      </c>
      <c r="B6" s="3">
        <v>92199</v>
      </c>
      <c r="C6" s="3">
        <v>92812</v>
      </c>
      <c r="D6" s="3">
        <v>97563</v>
      </c>
      <c r="E6" s="3">
        <v>98305</v>
      </c>
      <c r="F6" s="3">
        <v>98334</v>
      </c>
      <c r="G6" s="3">
        <v>93525</v>
      </c>
      <c r="H6" s="3">
        <v>96267</v>
      </c>
      <c r="I6" s="3">
        <v>97436</v>
      </c>
      <c r="J6" s="3">
        <v>97715</v>
      </c>
      <c r="K6" s="3">
        <v>94967</v>
      </c>
      <c r="L6" s="3">
        <v>96958</v>
      </c>
      <c r="M6" s="3">
        <v>94965</v>
      </c>
    </row>
    <row r="7" spans="1:13" ht="25.5" x14ac:dyDescent="0.25">
      <c r="A7" s="1" t="s">
        <v>144</v>
      </c>
      <c r="B7" s="3">
        <f>B3+B4+B5+B6</f>
        <v>2403174</v>
      </c>
      <c r="C7" s="3">
        <f t="shared" ref="C7:M7" si="0">C3+C4+C5+C6</f>
        <v>2441051</v>
      </c>
      <c r="D7" s="3">
        <f t="shared" si="0"/>
        <v>2536871</v>
      </c>
      <c r="E7" s="3">
        <f t="shared" si="0"/>
        <v>2621231</v>
      </c>
      <c r="F7" s="3">
        <f t="shared" si="0"/>
        <v>2709410</v>
      </c>
      <c r="G7" s="3">
        <f t="shared" si="0"/>
        <v>2754058</v>
      </c>
      <c r="H7" s="3">
        <f t="shared" si="0"/>
        <v>2768827</v>
      </c>
      <c r="I7" s="3">
        <f t="shared" si="0"/>
        <v>2777983</v>
      </c>
      <c r="J7" s="3">
        <f t="shared" si="0"/>
        <v>2780642</v>
      </c>
      <c r="K7" s="3">
        <f t="shared" si="0"/>
        <v>2809512</v>
      </c>
      <c r="L7" s="3">
        <f t="shared" si="0"/>
        <v>2867451</v>
      </c>
      <c r="M7" s="3">
        <f t="shared" si="0"/>
        <v>2871442</v>
      </c>
    </row>
    <row r="8" spans="1:13" ht="51" x14ac:dyDescent="0.25">
      <c r="A8" s="1" t="s">
        <v>5</v>
      </c>
      <c r="B8" s="3">
        <v>1588103</v>
      </c>
      <c r="C8" s="3">
        <v>1613427</v>
      </c>
      <c r="D8" s="3">
        <v>1775869</v>
      </c>
      <c r="E8" s="3">
        <v>1621593</v>
      </c>
      <c r="F8" s="3">
        <v>1606278</v>
      </c>
      <c r="G8" s="3">
        <v>1611690</v>
      </c>
      <c r="H8" s="3">
        <v>1688504</v>
      </c>
      <c r="I8" s="3">
        <v>1702537</v>
      </c>
      <c r="J8" s="3">
        <v>1739732</v>
      </c>
      <c r="K8" s="3">
        <v>1666403</v>
      </c>
      <c r="L8" s="3">
        <v>1674841</v>
      </c>
      <c r="M8" s="3">
        <v>1728417</v>
      </c>
    </row>
    <row r="9" spans="1:13" ht="63.75" x14ac:dyDescent="0.25">
      <c r="A9" s="1" t="s">
        <v>6</v>
      </c>
      <c r="B9" s="3">
        <v>1554247</v>
      </c>
      <c r="C9" s="3">
        <v>1578869</v>
      </c>
      <c r="D9" s="3">
        <v>1737692</v>
      </c>
      <c r="E9" s="3">
        <v>1582022</v>
      </c>
      <c r="F9" s="3">
        <v>1564750</v>
      </c>
      <c r="G9" s="3">
        <v>1572974</v>
      </c>
      <c r="H9" s="3">
        <v>1648797</v>
      </c>
      <c r="I9" s="3">
        <v>1662573</v>
      </c>
      <c r="J9" s="3">
        <v>1696910</v>
      </c>
      <c r="K9" s="3">
        <v>1625686</v>
      </c>
      <c r="L9" s="3">
        <v>1632938</v>
      </c>
      <c r="M9" s="3">
        <v>1686628</v>
      </c>
    </row>
    <row r="10" spans="1:13" ht="76.5" x14ac:dyDescent="0.25">
      <c r="A10" s="1" t="s">
        <v>7</v>
      </c>
      <c r="B10" s="3">
        <v>33856</v>
      </c>
      <c r="C10" s="3">
        <v>34558</v>
      </c>
      <c r="D10" s="3">
        <v>38177</v>
      </c>
      <c r="E10" s="3">
        <v>39570</v>
      </c>
      <c r="F10" s="3">
        <v>41528</v>
      </c>
      <c r="G10" s="3">
        <v>38716</v>
      </c>
      <c r="H10" s="3">
        <v>39707</v>
      </c>
      <c r="I10" s="3">
        <v>39964</v>
      </c>
      <c r="J10" s="3">
        <v>42822</v>
      </c>
      <c r="K10" s="3">
        <v>40717</v>
      </c>
      <c r="L10" s="3">
        <v>41904</v>
      </c>
      <c r="M10" s="3">
        <v>41788</v>
      </c>
    </row>
    <row r="11" spans="1:13" ht="25.5" x14ac:dyDescent="0.25">
      <c r="A11" s="1" t="s">
        <v>8</v>
      </c>
      <c r="B11" s="3">
        <v>3806879</v>
      </c>
      <c r="C11" s="3">
        <v>3868854</v>
      </c>
      <c r="D11" s="3">
        <v>4117614</v>
      </c>
      <c r="E11" s="3">
        <v>4046213</v>
      </c>
      <c r="F11" s="3">
        <v>4119020</v>
      </c>
      <c r="G11" s="3">
        <v>4178698</v>
      </c>
      <c r="H11" s="3">
        <v>4264797</v>
      </c>
      <c r="I11" s="3">
        <v>4285648</v>
      </c>
      <c r="J11" s="3">
        <v>4324944</v>
      </c>
      <c r="K11" s="3">
        <v>4285981</v>
      </c>
      <c r="L11" s="3">
        <v>4348375</v>
      </c>
      <c r="M11" s="3">
        <v>4409929</v>
      </c>
    </row>
    <row r="12" spans="1:13" ht="63.75" x14ac:dyDescent="0.25">
      <c r="A12" s="1" t="s">
        <v>9</v>
      </c>
      <c r="B12" s="3">
        <v>141786</v>
      </c>
      <c r="C12" s="3">
        <v>141786</v>
      </c>
      <c r="D12" s="3">
        <v>141786</v>
      </c>
      <c r="E12" s="3">
        <v>141786</v>
      </c>
      <c r="F12" s="3">
        <v>141786</v>
      </c>
      <c r="G12" s="3">
        <v>141786</v>
      </c>
      <c r="H12" s="3">
        <v>141786</v>
      </c>
      <c r="I12" s="3">
        <v>141786</v>
      </c>
      <c r="J12" s="3">
        <v>150963</v>
      </c>
      <c r="K12" s="3">
        <v>150963</v>
      </c>
      <c r="L12" s="3">
        <v>162724</v>
      </c>
      <c r="M12" s="3">
        <v>164567</v>
      </c>
    </row>
    <row r="13" spans="1:13" ht="25.5" x14ac:dyDescent="0.25">
      <c r="A13" s="1" t="s">
        <v>10</v>
      </c>
      <c r="B13" s="3">
        <v>3948665</v>
      </c>
      <c r="C13" s="3">
        <v>4010640</v>
      </c>
      <c r="D13" s="3">
        <v>4259400</v>
      </c>
      <c r="E13" s="3">
        <v>4187999</v>
      </c>
      <c r="F13" s="3">
        <v>4260806</v>
      </c>
      <c r="G13" s="3">
        <v>4320484</v>
      </c>
      <c r="H13" s="3">
        <v>4406583</v>
      </c>
      <c r="I13" s="3">
        <v>4427434</v>
      </c>
      <c r="J13" s="3">
        <v>4475907</v>
      </c>
      <c r="K13" s="3">
        <v>4436944</v>
      </c>
      <c r="L13" s="3">
        <v>4511099</v>
      </c>
      <c r="M13" s="3">
        <v>4574496</v>
      </c>
    </row>
    <row r="14" spans="1:13" ht="51" x14ac:dyDescent="0.25">
      <c r="A14" s="1" t="s">
        <v>11</v>
      </c>
      <c r="B14" s="3">
        <v>12611745</v>
      </c>
      <c r="C14" s="3">
        <v>12590123</v>
      </c>
      <c r="D14" s="3">
        <v>12674016</v>
      </c>
      <c r="E14" s="3">
        <v>12987875</v>
      </c>
      <c r="F14" s="3">
        <v>13111844</v>
      </c>
      <c r="G14" s="3">
        <v>13140721</v>
      </c>
      <c r="H14" s="3">
        <v>13361006</v>
      </c>
      <c r="I14" s="3">
        <v>13362349</v>
      </c>
      <c r="J14" s="3">
        <v>13414790</v>
      </c>
      <c r="K14" s="3">
        <v>13517758</v>
      </c>
      <c r="L14" s="3">
        <v>13589564</v>
      </c>
      <c r="M14" s="3">
        <v>13645443</v>
      </c>
    </row>
    <row r="15" spans="1:13" ht="25.5" x14ac:dyDescent="0.25">
      <c r="A15" s="1" t="s">
        <v>12</v>
      </c>
      <c r="B15" s="3">
        <v>16418624</v>
      </c>
      <c r="C15" s="3">
        <v>16458977</v>
      </c>
      <c r="D15" s="3">
        <v>16791629</v>
      </c>
      <c r="E15" s="3">
        <v>17034088</v>
      </c>
      <c r="F15" s="3">
        <v>17230864</v>
      </c>
      <c r="G15" s="3">
        <v>17319418</v>
      </c>
      <c r="H15" s="3">
        <v>17625803</v>
      </c>
      <c r="I15" s="3">
        <v>17647997</v>
      </c>
      <c r="J15" s="3">
        <v>17739734</v>
      </c>
      <c r="K15" s="3">
        <v>17803739</v>
      </c>
      <c r="L15" s="3">
        <v>17937939</v>
      </c>
      <c r="M15" s="3">
        <v>18055372</v>
      </c>
    </row>
    <row r="16" spans="1:13" ht="51" x14ac:dyDescent="0.25">
      <c r="A16" s="1" t="s">
        <v>13</v>
      </c>
      <c r="B16" s="3">
        <v>409246</v>
      </c>
      <c r="C16" s="3">
        <v>409246</v>
      </c>
      <c r="D16" s="3">
        <v>409246</v>
      </c>
      <c r="E16" s="3">
        <v>409246</v>
      </c>
      <c r="F16" s="3">
        <v>409246</v>
      </c>
      <c r="G16" s="3">
        <v>409246</v>
      </c>
      <c r="H16" s="3">
        <v>409246</v>
      </c>
      <c r="I16" s="3">
        <v>409246</v>
      </c>
      <c r="J16" s="3">
        <v>433441</v>
      </c>
      <c r="K16" s="3">
        <v>433441</v>
      </c>
      <c r="L16" s="3">
        <v>481423</v>
      </c>
      <c r="M16" s="3">
        <v>489323</v>
      </c>
    </row>
    <row r="17" spans="1:13" ht="25.5" x14ac:dyDescent="0.25">
      <c r="A17" s="1" t="s">
        <v>14</v>
      </c>
      <c r="B17" s="3">
        <v>16827870</v>
      </c>
      <c r="C17" s="3">
        <v>16868223</v>
      </c>
      <c r="D17" s="3">
        <v>17200875</v>
      </c>
      <c r="E17" s="3">
        <v>17443334</v>
      </c>
      <c r="F17" s="3">
        <v>17640110</v>
      </c>
      <c r="G17" s="3">
        <v>17728664</v>
      </c>
      <c r="H17" s="3">
        <v>18035049</v>
      </c>
      <c r="I17" s="3">
        <v>18057243</v>
      </c>
      <c r="J17" s="3">
        <v>18173175</v>
      </c>
      <c r="K17" s="3">
        <v>18237180</v>
      </c>
      <c r="L17" s="3">
        <v>18419362</v>
      </c>
      <c r="M17" s="3">
        <v>18544695</v>
      </c>
    </row>
    <row r="19" spans="1:13" x14ac:dyDescent="0.25">
      <c r="A19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079E-93E7-4BD1-972E-BE4066BC1B92}">
  <dimension ref="A1:M19"/>
  <sheetViews>
    <sheetView workbookViewId="0">
      <pane ySplit="1" topLeftCell="A11" activePane="bottomLeft" state="frozen"/>
      <selection pane="bottomLeft" activeCell="B7" sqref="B7:M7"/>
    </sheetView>
  </sheetViews>
  <sheetFormatPr defaultRowHeight="15" x14ac:dyDescent="0.25"/>
  <sheetData>
    <row r="1" spans="1:13" x14ac:dyDescent="0.25">
      <c r="A1" s="2" t="s">
        <v>15</v>
      </c>
      <c r="B1" s="14" t="s">
        <v>100</v>
      </c>
      <c r="C1" s="14" t="s">
        <v>101</v>
      </c>
      <c r="D1" s="14" t="s">
        <v>102</v>
      </c>
      <c r="E1" s="14" t="s">
        <v>103</v>
      </c>
      <c r="F1" s="14" t="s">
        <v>104</v>
      </c>
      <c r="G1" s="14" t="s">
        <v>105</v>
      </c>
      <c r="H1" s="14" t="s">
        <v>106</v>
      </c>
      <c r="I1" s="14" t="s">
        <v>107</v>
      </c>
      <c r="J1" s="14" t="s">
        <v>108</v>
      </c>
      <c r="K1" s="14" t="s">
        <v>109</v>
      </c>
      <c r="L1" s="14" t="s">
        <v>110</v>
      </c>
      <c r="M1" s="14" t="s">
        <v>111</v>
      </c>
    </row>
    <row r="2" spans="1:13" ht="89.25" x14ac:dyDescent="0.25">
      <c r="A2" s="1" t="s">
        <v>0</v>
      </c>
      <c r="B2" s="3">
        <v>1986735</v>
      </c>
      <c r="C2" s="3">
        <v>2255426</v>
      </c>
      <c r="D2" s="3">
        <v>2055044</v>
      </c>
      <c r="E2" s="3">
        <v>2092067</v>
      </c>
      <c r="F2" s="3">
        <v>2117366</v>
      </c>
      <c r="G2" s="3">
        <v>2116677</v>
      </c>
      <c r="H2" s="3">
        <v>2098705</v>
      </c>
      <c r="I2" s="3">
        <v>2082634</v>
      </c>
      <c r="J2" s="3">
        <v>2089198</v>
      </c>
      <c r="K2" s="3">
        <v>2161881</v>
      </c>
      <c r="L2" s="3">
        <v>2172488</v>
      </c>
      <c r="M2" s="3">
        <v>2180601</v>
      </c>
    </row>
    <row r="3" spans="1:13" ht="51" x14ac:dyDescent="0.25">
      <c r="A3" s="1" t="s">
        <v>1</v>
      </c>
      <c r="B3" s="3">
        <v>2039260</v>
      </c>
      <c r="C3" s="3">
        <v>2321924</v>
      </c>
      <c r="D3" s="3">
        <v>2113764</v>
      </c>
      <c r="E3" s="3">
        <v>2154070</v>
      </c>
      <c r="F3" s="3">
        <v>2178611</v>
      </c>
      <c r="G3" s="3">
        <v>2179972</v>
      </c>
      <c r="H3" s="3">
        <v>2161526</v>
      </c>
      <c r="I3" s="3">
        <v>2150382</v>
      </c>
      <c r="J3" s="3">
        <v>2160124</v>
      </c>
      <c r="K3" s="3">
        <v>2231090</v>
      </c>
      <c r="L3" s="3">
        <v>2241262</v>
      </c>
      <c r="M3" s="3">
        <v>2245888</v>
      </c>
    </row>
    <row r="4" spans="1:13" ht="63.75" x14ac:dyDescent="0.25">
      <c r="A4" s="1" t="s">
        <v>2</v>
      </c>
      <c r="B4" s="3">
        <v>25055</v>
      </c>
      <c r="C4" s="3">
        <v>25572</v>
      </c>
      <c r="D4" s="3">
        <v>25098</v>
      </c>
      <c r="E4" s="3">
        <v>25167</v>
      </c>
      <c r="F4" s="3">
        <v>25167</v>
      </c>
      <c r="G4" s="3">
        <v>25211</v>
      </c>
      <c r="H4" s="3">
        <v>25241</v>
      </c>
      <c r="I4" s="3">
        <v>25258</v>
      </c>
      <c r="J4" s="3">
        <v>25281</v>
      </c>
      <c r="K4" s="3">
        <v>25302</v>
      </c>
      <c r="L4" s="3">
        <v>25380</v>
      </c>
      <c r="M4" s="3">
        <v>25435</v>
      </c>
    </row>
    <row r="5" spans="1:13" ht="63.75" x14ac:dyDescent="0.25">
      <c r="A5" s="1" t="s">
        <v>3</v>
      </c>
      <c r="B5" s="3">
        <v>743</v>
      </c>
      <c r="C5" s="3">
        <v>743</v>
      </c>
      <c r="D5" s="3">
        <v>743</v>
      </c>
      <c r="E5" s="3">
        <v>743</v>
      </c>
      <c r="F5" s="3">
        <v>743</v>
      </c>
      <c r="G5" s="3">
        <v>743</v>
      </c>
      <c r="H5" s="3">
        <v>743</v>
      </c>
      <c r="I5" s="3">
        <v>743</v>
      </c>
      <c r="J5" s="3">
        <v>743</v>
      </c>
      <c r="K5" s="3">
        <v>743</v>
      </c>
      <c r="L5" s="3">
        <v>743</v>
      </c>
      <c r="M5" s="3">
        <v>743</v>
      </c>
    </row>
    <row r="6" spans="1:13" ht="51" x14ac:dyDescent="0.25">
      <c r="A6" s="1" t="s">
        <v>4</v>
      </c>
      <c r="B6" s="3">
        <v>78324</v>
      </c>
      <c r="C6" s="3">
        <v>92812</v>
      </c>
      <c r="D6" s="3">
        <v>84561</v>
      </c>
      <c r="E6" s="3">
        <v>87913</v>
      </c>
      <c r="F6" s="3">
        <v>87155</v>
      </c>
      <c r="G6" s="3">
        <v>89250</v>
      </c>
      <c r="H6" s="3">
        <v>88806</v>
      </c>
      <c r="I6" s="3">
        <v>93749</v>
      </c>
      <c r="J6" s="3">
        <v>96950</v>
      </c>
      <c r="K6" s="3">
        <v>95254</v>
      </c>
      <c r="L6" s="3">
        <v>94897</v>
      </c>
      <c r="M6" s="3">
        <v>91465</v>
      </c>
    </row>
    <row r="7" spans="1:13" ht="25.5" x14ac:dyDescent="0.25">
      <c r="A7" s="1" t="s">
        <v>144</v>
      </c>
      <c r="B7" s="3">
        <f>B3+B4+B5+B6</f>
        <v>2143382</v>
      </c>
      <c r="C7" s="3">
        <f t="shared" ref="C7:M7" si="0">C3+C4+C5+C6</f>
        <v>2441051</v>
      </c>
      <c r="D7" s="3">
        <f t="shared" si="0"/>
        <v>2224166</v>
      </c>
      <c r="E7" s="3">
        <f t="shared" si="0"/>
        <v>2267893</v>
      </c>
      <c r="F7" s="3">
        <f t="shared" si="0"/>
        <v>2291676</v>
      </c>
      <c r="G7" s="3">
        <f t="shared" si="0"/>
        <v>2295176</v>
      </c>
      <c r="H7" s="3">
        <f t="shared" si="0"/>
        <v>2276316</v>
      </c>
      <c r="I7" s="3">
        <f t="shared" si="0"/>
        <v>2270132</v>
      </c>
      <c r="J7" s="3">
        <f t="shared" si="0"/>
        <v>2283098</v>
      </c>
      <c r="K7" s="3">
        <f t="shared" si="0"/>
        <v>2352389</v>
      </c>
      <c r="L7" s="3">
        <f t="shared" si="0"/>
        <v>2362282</v>
      </c>
      <c r="M7" s="3">
        <f t="shared" si="0"/>
        <v>2363531</v>
      </c>
    </row>
    <row r="8" spans="1:13" ht="51" x14ac:dyDescent="0.25">
      <c r="A8" s="1" t="s">
        <v>5</v>
      </c>
      <c r="B8" s="3">
        <v>1355836</v>
      </c>
      <c r="C8" s="3">
        <v>1613427</v>
      </c>
      <c r="D8" s="3">
        <v>1666946</v>
      </c>
      <c r="E8" s="3">
        <v>1494100</v>
      </c>
      <c r="F8" s="3">
        <v>1456204</v>
      </c>
      <c r="G8" s="3">
        <v>1432959</v>
      </c>
      <c r="H8" s="3">
        <v>1475859</v>
      </c>
      <c r="I8" s="3">
        <v>1511661</v>
      </c>
      <c r="J8" s="3">
        <v>1557208</v>
      </c>
      <c r="K8" s="3">
        <v>1508717</v>
      </c>
      <c r="L8" s="3">
        <v>1480272</v>
      </c>
      <c r="M8" s="3">
        <v>1507935</v>
      </c>
    </row>
    <row r="9" spans="1:13" ht="63.75" x14ac:dyDescent="0.25">
      <c r="A9" s="1" t="s">
        <v>6</v>
      </c>
      <c r="B9" s="3">
        <v>1329986</v>
      </c>
      <c r="C9" s="3">
        <v>1578869</v>
      </c>
      <c r="D9" s="3">
        <v>1626512</v>
      </c>
      <c r="E9" s="3">
        <v>1466439</v>
      </c>
      <c r="F9" s="3">
        <v>1427752</v>
      </c>
      <c r="G9" s="3">
        <v>1403276</v>
      </c>
      <c r="H9" s="3">
        <v>1439850</v>
      </c>
      <c r="I9" s="3">
        <v>1480680</v>
      </c>
      <c r="J9" s="3">
        <v>1525227</v>
      </c>
      <c r="K9" s="3">
        <v>1477505</v>
      </c>
      <c r="L9" s="3">
        <v>1447960</v>
      </c>
      <c r="M9" s="3">
        <v>1473956</v>
      </c>
    </row>
    <row r="10" spans="1:13" ht="76.5" x14ac:dyDescent="0.25">
      <c r="A10" s="1" t="s">
        <v>7</v>
      </c>
      <c r="B10" s="3">
        <v>25850</v>
      </c>
      <c r="C10" s="3">
        <v>34558</v>
      </c>
      <c r="D10" s="3">
        <v>40434</v>
      </c>
      <c r="E10" s="3">
        <v>27660</v>
      </c>
      <c r="F10" s="3">
        <v>28452</v>
      </c>
      <c r="G10" s="3">
        <v>29683</v>
      </c>
      <c r="H10" s="3">
        <v>36009</v>
      </c>
      <c r="I10" s="3">
        <v>30982</v>
      </c>
      <c r="J10" s="3">
        <v>31981</v>
      </c>
      <c r="K10" s="3">
        <v>31212</v>
      </c>
      <c r="L10" s="3">
        <v>32312</v>
      </c>
      <c r="M10" s="3">
        <v>33979</v>
      </c>
    </row>
    <row r="11" spans="1:13" ht="25.5" x14ac:dyDescent="0.25">
      <c r="A11" s="1" t="s">
        <v>8</v>
      </c>
      <c r="B11" s="3">
        <v>3342571</v>
      </c>
      <c r="C11" s="3">
        <v>3868854</v>
      </c>
      <c r="D11" s="3">
        <v>3721991</v>
      </c>
      <c r="E11" s="3">
        <v>3586167</v>
      </c>
      <c r="F11" s="3">
        <v>3573571</v>
      </c>
      <c r="G11" s="3">
        <v>3549636</v>
      </c>
      <c r="H11" s="3">
        <v>3574564</v>
      </c>
      <c r="I11" s="3">
        <v>3594295</v>
      </c>
      <c r="J11" s="3">
        <v>3646406</v>
      </c>
      <c r="K11" s="3">
        <v>3670598</v>
      </c>
      <c r="L11" s="3">
        <v>3652760</v>
      </c>
      <c r="M11" s="3">
        <v>3688536</v>
      </c>
    </row>
    <row r="12" spans="1:13" ht="63.75" x14ac:dyDescent="0.25">
      <c r="A12" s="1" t="s">
        <v>9</v>
      </c>
      <c r="B12" s="3">
        <v>132503</v>
      </c>
      <c r="C12" s="3">
        <v>141786</v>
      </c>
      <c r="D12" s="3">
        <v>140599</v>
      </c>
      <c r="E12" s="3">
        <v>142785</v>
      </c>
      <c r="F12" s="3">
        <v>142624</v>
      </c>
      <c r="G12" s="3">
        <v>143501</v>
      </c>
      <c r="H12" s="3">
        <v>147425</v>
      </c>
      <c r="I12" s="3">
        <v>147931</v>
      </c>
      <c r="J12" s="3">
        <v>137494</v>
      </c>
      <c r="K12" s="3">
        <v>138452</v>
      </c>
      <c r="L12" s="3">
        <v>139402</v>
      </c>
      <c r="M12" s="3">
        <v>141786</v>
      </c>
    </row>
    <row r="13" spans="1:13" ht="25.5" x14ac:dyDescent="0.25">
      <c r="A13" s="1" t="s">
        <v>10</v>
      </c>
      <c r="B13" s="3">
        <v>3475074</v>
      </c>
      <c r="C13" s="3">
        <v>4010640</v>
      </c>
      <c r="D13" s="3">
        <v>3862590</v>
      </c>
      <c r="E13" s="3">
        <v>3728952</v>
      </c>
      <c r="F13" s="3">
        <v>3716195</v>
      </c>
      <c r="G13" s="3">
        <v>3693137</v>
      </c>
      <c r="H13" s="3">
        <v>3721989</v>
      </c>
      <c r="I13" s="3">
        <v>3742226</v>
      </c>
      <c r="J13" s="3">
        <v>3783900</v>
      </c>
      <c r="K13" s="3">
        <v>3809050</v>
      </c>
      <c r="L13" s="3">
        <v>3792162</v>
      </c>
      <c r="M13" s="3">
        <v>3830322</v>
      </c>
    </row>
    <row r="14" spans="1:13" ht="51" x14ac:dyDescent="0.25">
      <c r="A14" s="1" t="s">
        <v>11</v>
      </c>
      <c r="B14" s="3">
        <v>11416213</v>
      </c>
      <c r="C14" s="3">
        <v>12590123</v>
      </c>
      <c r="D14" s="3">
        <v>11721603</v>
      </c>
      <c r="E14" s="3">
        <v>11792438</v>
      </c>
      <c r="F14" s="3">
        <v>11847507</v>
      </c>
      <c r="G14" s="3">
        <v>11866468</v>
      </c>
      <c r="H14" s="3">
        <v>11993218</v>
      </c>
      <c r="I14" s="3">
        <v>12082795</v>
      </c>
      <c r="J14" s="3">
        <v>12167762</v>
      </c>
      <c r="K14" s="3">
        <v>12284764</v>
      </c>
      <c r="L14" s="3">
        <v>12292989</v>
      </c>
      <c r="M14" s="3">
        <v>12374442</v>
      </c>
    </row>
    <row r="15" spans="1:13" ht="25.5" x14ac:dyDescent="0.25">
      <c r="A15" s="1" t="s">
        <v>12</v>
      </c>
      <c r="B15" s="3">
        <v>14758783</v>
      </c>
      <c r="C15" s="3">
        <v>16458977</v>
      </c>
      <c r="D15" s="3">
        <v>15443594</v>
      </c>
      <c r="E15" s="3">
        <v>15378604</v>
      </c>
      <c r="F15" s="3">
        <v>15421077</v>
      </c>
      <c r="G15" s="3">
        <v>15416104</v>
      </c>
      <c r="H15" s="3">
        <v>15567781</v>
      </c>
      <c r="I15" s="3">
        <v>15677090</v>
      </c>
      <c r="J15" s="3">
        <v>15814167</v>
      </c>
      <c r="K15" s="3">
        <v>15955362</v>
      </c>
      <c r="L15" s="3">
        <v>15945749</v>
      </c>
      <c r="M15" s="3">
        <v>16062978</v>
      </c>
    </row>
    <row r="16" spans="1:13" ht="51" x14ac:dyDescent="0.25">
      <c r="A16" s="1" t="s">
        <v>13</v>
      </c>
      <c r="B16" s="3">
        <v>352915</v>
      </c>
      <c r="C16" s="3">
        <v>409246</v>
      </c>
      <c r="D16" s="3">
        <v>367287</v>
      </c>
      <c r="E16" s="3">
        <v>372622</v>
      </c>
      <c r="F16" s="3">
        <v>379196</v>
      </c>
      <c r="G16" s="3">
        <v>384526</v>
      </c>
      <c r="H16" s="3">
        <v>392306</v>
      </c>
      <c r="I16" s="3">
        <v>396704</v>
      </c>
      <c r="J16" s="3">
        <v>390764</v>
      </c>
      <c r="K16" s="3">
        <v>395413</v>
      </c>
      <c r="L16" s="3">
        <v>401165</v>
      </c>
      <c r="M16" s="3">
        <v>409246</v>
      </c>
    </row>
    <row r="17" spans="1:13" ht="25.5" x14ac:dyDescent="0.25">
      <c r="A17" s="1" t="s">
        <v>14</v>
      </c>
      <c r="B17" s="3">
        <v>15111698</v>
      </c>
      <c r="C17" s="3">
        <v>16868223</v>
      </c>
      <c r="D17" s="3">
        <v>15810881</v>
      </c>
      <c r="E17" s="3">
        <v>15751226</v>
      </c>
      <c r="F17" s="3">
        <v>15800273</v>
      </c>
      <c r="G17" s="3">
        <v>15800630</v>
      </c>
      <c r="H17" s="3">
        <v>15960087</v>
      </c>
      <c r="I17" s="3">
        <v>16073794</v>
      </c>
      <c r="J17" s="3">
        <v>16204931</v>
      </c>
      <c r="K17" s="3">
        <v>16350775</v>
      </c>
      <c r="L17" s="3">
        <v>16346914</v>
      </c>
      <c r="M17" s="3">
        <v>16472224</v>
      </c>
    </row>
    <row r="19" spans="1:13" x14ac:dyDescent="0.25">
      <c r="A19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64C7-DB73-4907-9713-46762B47EC2E}">
  <dimension ref="A1:Z21"/>
  <sheetViews>
    <sheetView workbookViewId="0">
      <pane ySplit="1" topLeftCell="A3" activePane="bottomLeft" state="frozen"/>
      <selection pane="bottomLeft" activeCell="O7" sqref="O7:Z7"/>
    </sheetView>
  </sheetViews>
  <sheetFormatPr defaultRowHeight="15" x14ac:dyDescent="0.25"/>
  <cols>
    <col min="14" max="14" width="14.85546875" bestFit="1" customWidth="1"/>
    <col min="21" max="24" width="11" bestFit="1" customWidth="1"/>
    <col min="25" max="26" width="9" bestFit="1" customWidth="1"/>
  </cols>
  <sheetData>
    <row r="1" spans="1:26" x14ac:dyDescent="0.25">
      <c r="A1" s="2" t="s">
        <v>15</v>
      </c>
      <c r="B1" s="14" t="s">
        <v>112</v>
      </c>
      <c r="C1" s="14" t="s">
        <v>113</v>
      </c>
      <c r="D1" s="14" t="s">
        <v>114</v>
      </c>
      <c r="E1" s="14" t="s">
        <v>115</v>
      </c>
      <c r="F1" s="14" t="s">
        <v>117</v>
      </c>
      <c r="G1" s="14" t="s">
        <v>118</v>
      </c>
      <c r="H1" s="14" t="s">
        <v>119</v>
      </c>
      <c r="I1" s="14" t="s">
        <v>120</v>
      </c>
      <c r="J1" s="14" t="s">
        <v>121</v>
      </c>
      <c r="K1" s="14" t="s">
        <v>122</v>
      </c>
      <c r="L1" s="14" t="s">
        <v>123</v>
      </c>
      <c r="M1" s="14" t="s">
        <v>124</v>
      </c>
    </row>
    <row r="2" spans="1:26" ht="89.25" x14ac:dyDescent="0.25">
      <c r="A2" s="1" t="s">
        <v>0</v>
      </c>
      <c r="B2" s="17">
        <v>16607.400000000001</v>
      </c>
      <c r="C2" s="18">
        <v>17071.900000000001</v>
      </c>
      <c r="D2" s="17">
        <v>17604.400000000001</v>
      </c>
      <c r="E2" s="17">
        <v>18248.8</v>
      </c>
      <c r="F2" s="17">
        <v>18537.900000000001</v>
      </c>
      <c r="G2" s="17">
        <v>18767.599999999999</v>
      </c>
      <c r="H2" s="3">
        <v>1858933</v>
      </c>
      <c r="I2" s="3">
        <v>1846844</v>
      </c>
      <c r="J2" s="3">
        <v>1842936</v>
      </c>
      <c r="K2" s="3">
        <v>1875135</v>
      </c>
      <c r="L2" s="17">
        <v>19244.5</v>
      </c>
      <c r="M2" s="17">
        <v>19509.099999999999</v>
      </c>
      <c r="O2">
        <f>B2*100</f>
        <v>1660740.0000000002</v>
      </c>
      <c r="P2">
        <f t="shared" ref="P2:Z2" si="0">C2*100</f>
        <v>1707190.0000000002</v>
      </c>
      <c r="Q2">
        <f t="shared" si="0"/>
        <v>1760440.0000000002</v>
      </c>
      <c r="R2">
        <f t="shared" si="0"/>
        <v>1824880</v>
      </c>
      <c r="S2">
        <f t="shared" si="0"/>
        <v>1853790.0000000002</v>
      </c>
      <c r="T2">
        <f t="shared" si="0"/>
        <v>1876759.9999999998</v>
      </c>
      <c r="U2">
        <f t="shared" si="0"/>
        <v>185893300</v>
      </c>
      <c r="V2">
        <f t="shared" si="0"/>
        <v>184684400</v>
      </c>
      <c r="W2">
        <f t="shared" si="0"/>
        <v>184293600</v>
      </c>
      <c r="X2">
        <f t="shared" si="0"/>
        <v>187513500</v>
      </c>
      <c r="Y2">
        <f t="shared" si="0"/>
        <v>1924450</v>
      </c>
      <c r="Z2">
        <f t="shared" si="0"/>
        <v>1950909.9999999998</v>
      </c>
    </row>
    <row r="3" spans="1:26" ht="51" x14ac:dyDescent="0.25">
      <c r="A3" s="1" t="s">
        <v>1</v>
      </c>
      <c r="B3" s="17">
        <v>17076.599999999999</v>
      </c>
      <c r="C3" s="18">
        <v>17521</v>
      </c>
      <c r="D3" s="17">
        <v>18044.2</v>
      </c>
      <c r="E3" s="17">
        <v>18779.7</v>
      </c>
      <c r="F3" s="17">
        <v>19050.599999999999</v>
      </c>
      <c r="G3" s="17">
        <v>19316.8</v>
      </c>
      <c r="H3" s="3">
        <v>1910933</v>
      </c>
      <c r="I3" s="3">
        <v>1901937</v>
      </c>
      <c r="J3" s="3">
        <v>1899547</v>
      </c>
      <c r="K3" s="3">
        <v>1935566</v>
      </c>
      <c r="L3" s="17">
        <v>19850.099999999999</v>
      </c>
      <c r="M3" s="17">
        <v>20041.8</v>
      </c>
      <c r="O3">
        <f t="shared" ref="O3:O17" si="1">B3*100</f>
        <v>1707659.9999999998</v>
      </c>
      <c r="P3">
        <f t="shared" ref="P3:P17" si="2">C3*100</f>
        <v>1752100</v>
      </c>
      <c r="Q3">
        <f t="shared" ref="Q3:Q17" si="3">D3*100</f>
        <v>1804420</v>
      </c>
      <c r="R3">
        <f t="shared" ref="R3:R17" si="4">E3*100</f>
        <v>1877970</v>
      </c>
      <c r="S3">
        <f t="shared" ref="S3:S17" si="5">F3*100</f>
        <v>1905059.9999999998</v>
      </c>
      <c r="T3">
        <f t="shared" ref="T3:T17" si="6">G3*100</f>
        <v>1931680</v>
      </c>
      <c r="U3">
        <f t="shared" ref="U3:U17" si="7">H3*100</f>
        <v>191093300</v>
      </c>
      <c r="V3">
        <f t="shared" ref="V3:V17" si="8">I3*100</f>
        <v>190193700</v>
      </c>
      <c r="W3">
        <f t="shared" ref="W3:W17" si="9">J3*100</f>
        <v>189954700</v>
      </c>
      <c r="X3">
        <f t="shared" ref="X3:X17" si="10">K3*100</f>
        <v>193556600</v>
      </c>
      <c r="Y3">
        <f t="shared" ref="Y3:Y17" si="11">L3*100</f>
        <v>1985009.9999999998</v>
      </c>
      <c r="Z3">
        <f t="shared" ref="Z3:Z17" si="12">M3*100</f>
        <v>2004180</v>
      </c>
    </row>
    <row r="4" spans="1:26" ht="63.75" x14ac:dyDescent="0.25">
      <c r="A4" s="1" t="s">
        <v>2</v>
      </c>
      <c r="B4" s="17">
        <v>248.8</v>
      </c>
      <c r="C4" s="18">
        <v>249</v>
      </c>
      <c r="D4" s="17">
        <v>249.1</v>
      </c>
      <c r="E4" s="17">
        <v>249.3</v>
      </c>
      <c r="F4" s="17">
        <v>249.6</v>
      </c>
      <c r="G4" s="17">
        <v>249.7</v>
      </c>
      <c r="H4" s="3">
        <v>24958</v>
      </c>
      <c r="I4" s="3">
        <v>24954</v>
      </c>
      <c r="J4" s="3">
        <v>24954</v>
      </c>
      <c r="K4" s="3">
        <v>24954</v>
      </c>
      <c r="L4" s="17">
        <v>249.5</v>
      </c>
      <c r="M4" s="17">
        <v>249.5</v>
      </c>
      <c r="O4">
        <f t="shared" si="1"/>
        <v>24880</v>
      </c>
      <c r="P4">
        <f t="shared" si="2"/>
        <v>24900</v>
      </c>
      <c r="Q4">
        <f t="shared" si="3"/>
        <v>24910</v>
      </c>
      <c r="R4">
        <f t="shared" si="4"/>
        <v>24930</v>
      </c>
      <c r="S4">
        <f t="shared" si="5"/>
        <v>24960</v>
      </c>
      <c r="T4">
        <f t="shared" si="6"/>
        <v>24970</v>
      </c>
      <c r="U4">
        <f t="shared" si="7"/>
        <v>2495800</v>
      </c>
      <c r="V4">
        <f t="shared" si="8"/>
        <v>2495400</v>
      </c>
      <c r="W4">
        <f t="shared" si="9"/>
        <v>2495400</v>
      </c>
      <c r="X4">
        <f t="shared" si="10"/>
        <v>2495400</v>
      </c>
      <c r="Y4">
        <f t="shared" si="11"/>
        <v>24950</v>
      </c>
      <c r="Z4">
        <f t="shared" si="12"/>
        <v>24950</v>
      </c>
    </row>
    <row r="5" spans="1:26" ht="63.75" x14ac:dyDescent="0.25">
      <c r="A5" s="1" t="s">
        <v>3</v>
      </c>
      <c r="B5" s="17">
        <v>7.4</v>
      </c>
      <c r="C5" s="18">
        <v>7.4</v>
      </c>
      <c r="D5" s="17">
        <v>7.4</v>
      </c>
      <c r="E5" s="17">
        <v>7.4</v>
      </c>
      <c r="F5" s="17">
        <v>7.4</v>
      </c>
      <c r="G5" s="17">
        <v>7.4</v>
      </c>
      <c r="H5" s="3">
        <v>743</v>
      </c>
      <c r="I5" s="3">
        <v>743</v>
      </c>
      <c r="J5" s="3">
        <v>743</v>
      </c>
      <c r="K5" s="3">
        <v>743</v>
      </c>
      <c r="L5" s="17">
        <v>7.4</v>
      </c>
      <c r="M5" s="17">
        <v>7.4</v>
      </c>
      <c r="O5">
        <f t="shared" si="1"/>
        <v>740</v>
      </c>
      <c r="P5">
        <f t="shared" si="2"/>
        <v>740</v>
      </c>
      <c r="Q5">
        <f t="shared" si="3"/>
        <v>740</v>
      </c>
      <c r="R5">
        <f t="shared" si="4"/>
        <v>740</v>
      </c>
      <c r="S5">
        <f t="shared" si="5"/>
        <v>740</v>
      </c>
      <c r="T5">
        <f t="shared" si="6"/>
        <v>740</v>
      </c>
      <c r="U5">
        <f t="shared" si="7"/>
        <v>74300</v>
      </c>
      <c r="V5">
        <f t="shared" si="8"/>
        <v>74300</v>
      </c>
      <c r="W5">
        <f t="shared" si="9"/>
        <v>74300</v>
      </c>
      <c r="X5">
        <f t="shared" si="10"/>
        <v>74300</v>
      </c>
      <c r="Y5">
        <f t="shared" si="11"/>
        <v>740</v>
      </c>
      <c r="Z5">
        <f t="shared" si="12"/>
        <v>740</v>
      </c>
    </row>
    <row r="6" spans="1:26" ht="51" x14ac:dyDescent="0.25">
      <c r="A6" s="1" t="s">
        <v>4</v>
      </c>
      <c r="B6" s="17">
        <v>725.4</v>
      </c>
      <c r="C6" s="18">
        <v>705.5</v>
      </c>
      <c r="D6" s="17">
        <v>696.4</v>
      </c>
      <c r="E6" s="17">
        <v>787.7</v>
      </c>
      <c r="F6" s="17">
        <v>769.6</v>
      </c>
      <c r="G6" s="17">
        <v>806.3</v>
      </c>
      <c r="H6" s="3">
        <v>77700</v>
      </c>
      <c r="I6" s="3">
        <v>80790</v>
      </c>
      <c r="J6" s="3">
        <v>82308</v>
      </c>
      <c r="K6" s="3">
        <v>86128</v>
      </c>
      <c r="L6" s="17">
        <v>862.6</v>
      </c>
      <c r="M6" s="17">
        <v>789.7</v>
      </c>
      <c r="O6">
        <f t="shared" si="1"/>
        <v>72540</v>
      </c>
      <c r="P6">
        <f t="shared" si="2"/>
        <v>70550</v>
      </c>
      <c r="Q6">
        <f t="shared" si="3"/>
        <v>69640</v>
      </c>
      <c r="R6">
        <f t="shared" si="4"/>
        <v>78770</v>
      </c>
      <c r="S6">
        <f t="shared" si="5"/>
        <v>76960</v>
      </c>
      <c r="T6">
        <f t="shared" si="6"/>
        <v>80630</v>
      </c>
      <c r="U6">
        <f t="shared" si="7"/>
        <v>7770000</v>
      </c>
      <c r="V6">
        <f t="shared" si="8"/>
        <v>8079000</v>
      </c>
      <c r="W6">
        <f t="shared" si="9"/>
        <v>8230800</v>
      </c>
      <c r="X6">
        <f t="shared" si="10"/>
        <v>8612800</v>
      </c>
      <c r="Y6">
        <f t="shared" si="11"/>
        <v>86260</v>
      </c>
      <c r="Z6">
        <f t="shared" si="12"/>
        <v>78970</v>
      </c>
    </row>
    <row r="7" spans="1:26" x14ac:dyDescent="0.25">
      <c r="A7" s="1"/>
      <c r="B7" s="17"/>
      <c r="C7" s="18"/>
      <c r="D7" s="17"/>
      <c r="E7" s="17"/>
      <c r="F7" s="17"/>
      <c r="G7" s="17"/>
      <c r="H7" s="3"/>
      <c r="I7" s="3"/>
      <c r="J7" s="3"/>
      <c r="K7" s="3"/>
      <c r="L7" s="17"/>
      <c r="M7" s="17"/>
      <c r="N7" t="s">
        <v>144</v>
      </c>
      <c r="O7">
        <f>O3+O4+O5+O6</f>
        <v>1805819.9999999998</v>
      </c>
      <c r="P7">
        <f t="shared" ref="P7:Z7" si="13">P3+P4+P5+P6</f>
        <v>1848290</v>
      </c>
      <c r="Q7">
        <f t="shared" si="13"/>
        <v>1899710</v>
      </c>
      <c r="R7">
        <f t="shared" si="13"/>
        <v>1982410</v>
      </c>
      <c r="S7">
        <f t="shared" si="13"/>
        <v>2007719.9999999998</v>
      </c>
      <c r="T7">
        <f t="shared" si="13"/>
        <v>2038020</v>
      </c>
      <c r="U7">
        <f t="shared" si="13"/>
        <v>201433400</v>
      </c>
      <c r="V7">
        <f t="shared" si="13"/>
        <v>200842400</v>
      </c>
      <c r="W7">
        <f t="shared" si="13"/>
        <v>200755200</v>
      </c>
      <c r="X7">
        <f t="shared" si="13"/>
        <v>204739100</v>
      </c>
      <c r="Y7">
        <f t="shared" si="13"/>
        <v>2096959.9999999998</v>
      </c>
      <c r="Z7">
        <f t="shared" si="13"/>
        <v>2108840</v>
      </c>
    </row>
    <row r="8" spans="1:26" ht="51" x14ac:dyDescent="0.25">
      <c r="A8" s="1" t="s">
        <v>5</v>
      </c>
      <c r="B8" s="17">
        <v>12509.4</v>
      </c>
      <c r="C8" s="18">
        <v>12610.2</v>
      </c>
      <c r="D8" s="17">
        <v>15103.2</v>
      </c>
      <c r="E8" s="17">
        <v>13529.4</v>
      </c>
      <c r="F8" s="17">
        <v>13100.3</v>
      </c>
      <c r="G8" s="17">
        <v>13123.6</v>
      </c>
      <c r="H8" s="3">
        <v>1298907</v>
      </c>
      <c r="I8" s="3">
        <v>1366714</v>
      </c>
      <c r="J8" s="3">
        <v>1448770</v>
      </c>
      <c r="K8" s="3">
        <v>1375494</v>
      </c>
      <c r="L8" s="17">
        <v>13640.3</v>
      </c>
      <c r="M8" s="17">
        <v>13276.7</v>
      </c>
      <c r="O8">
        <f t="shared" si="1"/>
        <v>1250940</v>
      </c>
      <c r="P8">
        <f t="shared" si="2"/>
        <v>1261020</v>
      </c>
      <c r="Q8">
        <f t="shared" si="3"/>
        <v>1510320</v>
      </c>
      <c r="R8">
        <f t="shared" si="4"/>
        <v>1352940</v>
      </c>
      <c r="S8">
        <f t="shared" si="5"/>
        <v>1310030</v>
      </c>
      <c r="T8">
        <f t="shared" si="6"/>
        <v>1312360</v>
      </c>
      <c r="U8">
        <f t="shared" si="7"/>
        <v>129890700</v>
      </c>
      <c r="V8">
        <f t="shared" si="8"/>
        <v>136671400</v>
      </c>
      <c r="W8">
        <f t="shared" si="9"/>
        <v>144877000</v>
      </c>
      <c r="X8">
        <f t="shared" si="10"/>
        <v>137549400</v>
      </c>
      <c r="Y8">
        <f t="shared" si="11"/>
        <v>1364030</v>
      </c>
      <c r="Z8">
        <f t="shared" si="12"/>
        <v>1327670</v>
      </c>
    </row>
    <row r="9" spans="1:26" ht="63.75" x14ac:dyDescent="0.25">
      <c r="A9" s="1" t="s">
        <v>6</v>
      </c>
      <c r="B9" s="17">
        <v>12249.6</v>
      </c>
      <c r="C9" s="18">
        <v>12409.2</v>
      </c>
      <c r="D9" s="17">
        <v>14837.1</v>
      </c>
      <c r="E9" s="17">
        <v>13309.3</v>
      </c>
      <c r="F9" s="17">
        <v>12831.7</v>
      </c>
      <c r="G9" s="17">
        <v>12898.5</v>
      </c>
      <c r="H9" s="3">
        <v>1275905</v>
      </c>
      <c r="I9" s="3">
        <v>1342044</v>
      </c>
      <c r="J9" s="3">
        <v>1423190</v>
      </c>
      <c r="K9" s="3">
        <v>1350916</v>
      </c>
      <c r="L9" s="17">
        <v>13382.7</v>
      </c>
      <c r="M9" s="17">
        <v>13026</v>
      </c>
      <c r="O9">
        <f t="shared" si="1"/>
        <v>1224960</v>
      </c>
      <c r="P9">
        <f t="shared" si="2"/>
        <v>1240920</v>
      </c>
      <c r="Q9">
        <f t="shared" si="3"/>
        <v>1483710</v>
      </c>
      <c r="R9">
        <f t="shared" si="4"/>
        <v>1330930</v>
      </c>
      <c r="S9">
        <f t="shared" si="5"/>
        <v>1283170</v>
      </c>
      <c r="T9">
        <f t="shared" si="6"/>
        <v>1289850</v>
      </c>
      <c r="U9">
        <f t="shared" si="7"/>
        <v>127590500</v>
      </c>
      <c r="V9">
        <f t="shared" si="8"/>
        <v>134204400</v>
      </c>
      <c r="W9">
        <f t="shared" si="9"/>
        <v>142319000</v>
      </c>
      <c r="X9">
        <f t="shared" si="10"/>
        <v>135091600</v>
      </c>
      <c r="Y9">
        <f t="shared" si="11"/>
        <v>1338270</v>
      </c>
      <c r="Z9">
        <f t="shared" si="12"/>
        <v>1302600</v>
      </c>
    </row>
    <row r="10" spans="1:26" ht="76.5" x14ac:dyDescent="0.25">
      <c r="A10" s="1" t="s">
        <v>7</v>
      </c>
      <c r="B10" s="17">
        <v>259.89999999999998</v>
      </c>
      <c r="C10" s="18">
        <v>200.9</v>
      </c>
      <c r="D10" s="17">
        <v>266</v>
      </c>
      <c r="E10" s="17">
        <v>220.1</v>
      </c>
      <c r="F10" s="17">
        <v>268.60000000000002</v>
      </c>
      <c r="G10" s="17">
        <v>225.2</v>
      </c>
      <c r="H10" s="3">
        <v>23001</v>
      </c>
      <c r="I10" s="3">
        <v>24670</v>
      </c>
      <c r="J10" s="3">
        <v>25580</v>
      </c>
      <c r="K10" s="3">
        <v>24578</v>
      </c>
      <c r="L10" s="17">
        <v>257.60000000000002</v>
      </c>
      <c r="M10" s="17">
        <v>250.7</v>
      </c>
      <c r="O10">
        <f t="shared" si="1"/>
        <v>25989.999999999996</v>
      </c>
      <c r="P10">
        <f t="shared" si="2"/>
        <v>20090</v>
      </c>
      <c r="Q10">
        <f t="shared" si="3"/>
        <v>26600</v>
      </c>
      <c r="R10">
        <f t="shared" si="4"/>
        <v>22010</v>
      </c>
      <c r="S10">
        <f t="shared" si="5"/>
        <v>26860.000000000004</v>
      </c>
      <c r="T10">
        <f t="shared" si="6"/>
        <v>22520</v>
      </c>
      <c r="U10">
        <f t="shared" si="7"/>
        <v>2300100</v>
      </c>
      <c r="V10">
        <f t="shared" si="8"/>
        <v>2467000</v>
      </c>
      <c r="W10">
        <f t="shared" si="9"/>
        <v>2558000</v>
      </c>
      <c r="X10">
        <f t="shared" si="10"/>
        <v>2457800</v>
      </c>
      <c r="Y10">
        <f t="shared" si="11"/>
        <v>25760.000000000004</v>
      </c>
      <c r="Z10">
        <f t="shared" si="12"/>
        <v>25070</v>
      </c>
    </row>
    <row r="11" spans="1:26" ht="25.5" x14ac:dyDescent="0.25">
      <c r="A11" s="1" t="s">
        <v>8</v>
      </c>
      <c r="B11" s="17">
        <v>29116.799999999999</v>
      </c>
      <c r="C11" s="18">
        <v>29682.1</v>
      </c>
      <c r="D11" s="17">
        <v>32707.5</v>
      </c>
      <c r="E11" s="17">
        <v>31778.1</v>
      </c>
      <c r="F11" s="17">
        <v>31638.2</v>
      </c>
      <c r="G11" s="17">
        <v>31891.3</v>
      </c>
      <c r="H11" s="3">
        <v>3157840</v>
      </c>
      <c r="I11" s="3">
        <v>3213558</v>
      </c>
      <c r="J11" s="3">
        <v>3291706</v>
      </c>
      <c r="K11" s="3">
        <v>3250630</v>
      </c>
      <c r="L11" s="17">
        <v>32884.699999999997</v>
      </c>
      <c r="M11" s="17">
        <v>32785.800000000003</v>
      </c>
      <c r="O11">
        <f t="shared" si="1"/>
        <v>2911680</v>
      </c>
      <c r="P11">
        <f t="shared" si="2"/>
        <v>2968210</v>
      </c>
      <c r="Q11">
        <f t="shared" si="3"/>
        <v>3270750</v>
      </c>
      <c r="R11">
        <f t="shared" si="4"/>
        <v>3177810</v>
      </c>
      <c r="S11">
        <f t="shared" si="5"/>
        <v>3163820</v>
      </c>
      <c r="T11">
        <f t="shared" si="6"/>
        <v>3189130</v>
      </c>
      <c r="U11">
        <f t="shared" si="7"/>
        <v>315784000</v>
      </c>
      <c r="V11">
        <f t="shared" si="8"/>
        <v>321355800</v>
      </c>
      <c r="W11">
        <f t="shared" si="9"/>
        <v>329170600</v>
      </c>
      <c r="X11">
        <f t="shared" si="10"/>
        <v>325063000</v>
      </c>
      <c r="Y11">
        <f t="shared" si="11"/>
        <v>3288469.9999999995</v>
      </c>
      <c r="Z11">
        <f t="shared" si="12"/>
        <v>3278580.0000000005</v>
      </c>
    </row>
    <row r="12" spans="1:26" ht="63.75" x14ac:dyDescent="0.25">
      <c r="A12" s="1" t="s">
        <v>9</v>
      </c>
      <c r="B12" s="17">
        <v>1051.8</v>
      </c>
      <c r="C12" s="18">
        <v>1066.9000000000001</v>
      </c>
      <c r="D12" s="17">
        <v>1092.0999999999999</v>
      </c>
      <c r="E12" s="17">
        <v>1118</v>
      </c>
      <c r="F12" s="17">
        <v>1138.5</v>
      </c>
      <c r="G12" s="17">
        <v>1162</v>
      </c>
      <c r="H12" s="3">
        <v>118637</v>
      </c>
      <c r="I12" s="3">
        <v>120658</v>
      </c>
      <c r="J12" s="3">
        <v>125873</v>
      </c>
      <c r="K12" s="3">
        <v>125620</v>
      </c>
      <c r="L12" s="17">
        <v>1256.2</v>
      </c>
      <c r="M12" s="17">
        <v>1256.2</v>
      </c>
      <c r="O12">
        <f t="shared" si="1"/>
        <v>105180</v>
      </c>
      <c r="P12">
        <f t="shared" si="2"/>
        <v>106690.00000000001</v>
      </c>
      <c r="Q12">
        <f t="shared" si="3"/>
        <v>109209.99999999999</v>
      </c>
      <c r="R12">
        <f t="shared" si="4"/>
        <v>111800</v>
      </c>
      <c r="S12">
        <f t="shared" si="5"/>
        <v>113850</v>
      </c>
      <c r="T12">
        <f t="shared" si="6"/>
        <v>116200</v>
      </c>
      <c r="U12">
        <f t="shared" si="7"/>
        <v>11863700</v>
      </c>
      <c r="V12">
        <f t="shared" si="8"/>
        <v>12065800</v>
      </c>
      <c r="W12">
        <f t="shared" si="9"/>
        <v>12587300</v>
      </c>
      <c r="X12">
        <f t="shared" si="10"/>
        <v>12562000</v>
      </c>
      <c r="Y12">
        <f t="shared" si="11"/>
        <v>125620</v>
      </c>
      <c r="Z12">
        <f t="shared" si="12"/>
        <v>125620</v>
      </c>
    </row>
    <row r="13" spans="1:26" ht="25.5" x14ac:dyDescent="0.25">
      <c r="A13" s="1" t="s">
        <v>10</v>
      </c>
      <c r="B13" s="17">
        <v>30168.7</v>
      </c>
      <c r="C13" s="18">
        <v>30749</v>
      </c>
      <c r="D13" s="17">
        <v>33799.599999999999</v>
      </c>
      <c r="E13" s="17">
        <v>32896.1</v>
      </c>
      <c r="F13" s="17">
        <v>32776.699999999997</v>
      </c>
      <c r="G13" s="17">
        <v>33053.300000000003</v>
      </c>
      <c r="H13" s="3">
        <v>3276477</v>
      </c>
      <c r="I13" s="3">
        <v>3334216</v>
      </c>
      <c r="J13" s="3">
        <v>3417579</v>
      </c>
      <c r="K13" s="3">
        <v>3376250</v>
      </c>
      <c r="L13" s="17">
        <v>34140.9</v>
      </c>
      <c r="M13" s="17">
        <v>34042</v>
      </c>
      <c r="O13">
        <f t="shared" si="1"/>
        <v>3016870</v>
      </c>
      <c r="P13">
        <f t="shared" si="2"/>
        <v>3074900</v>
      </c>
      <c r="Q13">
        <f t="shared" si="3"/>
        <v>3379960</v>
      </c>
      <c r="R13">
        <f t="shared" si="4"/>
        <v>3289610</v>
      </c>
      <c r="S13">
        <f t="shared" si="5"/>
        <v>3277669.9999999995</v>
      </c>
      <c r="T13">
        <f t="shared" si="6"/>
        <v>3305330.0000000005</v>
      </c>
      <c r="U13">
        <f t="shared" si="7"/>
        <v>327647700</v>
      </c>
      <c r="V13">
        <f t="shared" si="8"/>
        <v>333421600</v>
      </c>
      <c r="W13">
        <f t="shared" si="9"/>
        <v>341757900</v>
      </c>
      <c r="X13">
        <f t="shared" si="10"/>
        <v>337625000</v>
      </c>
      <c r="Y13">
        <f t="shared" si="11"/>
        <v>3414090</v>
      </c>
      <c r="Z13">
        <f t="shared" si="12"/>
        <v>3404200</v>
      </c>
    </row>
    <row r="14" spans="1:26" ht="51" x14ac:dyDescent="0.25">
      <c r="A14" s="1" t="s">
        <v>11</v>
      </c>
      <c r="B14" s="17">
        <v>104515.5</v>
      </c>
      <c r="C14" s="18">
        <v>105107.8</v>
      </c>
      <c r="D14" s="17">
        <v>106952.6</v>
      </c>
      <c r="E14" s="17">
        <v>108038.3</v>
      </c>
      <c r="F14" s="17">
        <v>108206.5</v>
      </c>
      <c r="G14" s="17">
        <v>108141</v>
      </c>
      <c r="H14" s="3">
        <v>10915024</v>
      </c>
      <c r="I14" s="3">
        <v>11057850</v>
      </c>
      <c r="J14" s="3">
        <v>11131202</v>
      </c>
      <c r="K14" s="3">
        <v>11175750</v>
      </c>
      <c r="L14" s="17">
        <v>112303</v>
      </c>
      <c r="M14" s="17">
        <v>112710.3</v>
      </c>
      <c r="O14">
        <f t="shared" si="1"/>
        <v>10451550</v>
      </c>
      <c r="P14">
        <f t="shared" si="2"/>
        <v>10510780</v>
      </c>
      <c r="Q14">
        <f t="shared" si="3"/>
        <v>10695260</v>
      </c>
      <c r="R14">
        <f t="shared" si="4"/>
        <v>10803830</v>
      </c>
      <c r="S14">
        <f t="shared" si="5"/>
        <v>10820650</v>
      </c>
      <c r="T14">
        <f t="shared" si="6"/>
        <v>10814100</v>
      </c>
      <c r="U14">
        <f t="shared" si="7"/>
        <v>1091502400</v>
      </c>
      <c r="V14">
        <f t="shared" si="8"/>
        <v>1105785000</v>
      </c>
      <c r="W14">
        <f t="shared" si="9"/>
        <v>1113120200</v>
      </c>
      <c r="X14">
        <f t="shared" si="10"/>
        <v>1117575000</v>
      </c>
      <c r="Y14">
        <f t="shared" si="11"/>
        <v>11230300</v>
      </c>
      <c r="Z14">
        <f t="shared" si="12"/>
        <v>11271030</v>
      </c>
    </row>
    <row r="15" spans="1:26" ht="25.5" x14ac:dyDescent="0.25">
      <c r="A15" s="1" t="s">
        <v>12</v>
      </c>
      <c r="B15" s="17">
        <v>133632.29999999999</v>
      </c>
      <c r="C15" s="18">
        <v>134789.9</v>
      </c>
      <c r="D15" s="17">
        <v>139660.1</v>
      </c>
      <c r="E15" s="17">
        <v>139816.5</v>
      </c>
      <c r="F15" s="17">
        <v>139844.79999999999</v>
      </c>
      <c r="G15" s="17">
        <v>140032.29999999999</v>
      </c>
      <c r="H15" s="3">
        <v>14072865</v>
      </c>
      <c r="I15" s="3">
        <v>14271408</v>
      </c>
      <c r="J15" s="3">
        <v>14422908</v>
      </c>
      <c r="K15" s="3">
        <v>14426380</v>
      </c>
      <c r="L15" s="17">
        <v>145187.70000000001</v>
      </c>
      <c r="M15" s="17">
        <v>145496.1</v>
      </c>
      <c r="O15">
        <f t="shared" si="1"/>
        <v>13363229.999999998</v>
      </c>
      <c r="P15">
        <f t="shared" si="2"/>
        <v>13478990</v>
      </c>
      <c r="Q15">
        <f t="shared" si="3"/>
        <v>13966010</v>
      </c>
      <c r="R15">
        <f t="shared" si="4"/>
        <v>13981650</v>
      </c>
      <c r="S15">
        <f t="shared" si="5"/>
        <v>13984479.999999998</v>
      </c>
      <c r="T15">
        <f t="shared" si="6"/>
        <v>14003229.999999998</v>
      </c>
      <c r="U15">
        <f t="shared" si="7"/>
        <v>1407286500</v>
      </c>
      <c r="V15">
        <f t="shared" si="8"/>
        <v>1427140800</v>
      </c>
      <c r="W15">
        <f t="shared" si="9"/>
        <v>1442290800</v>
      </c>
      <c r="X15">
        <f>K15*1</f>
        <v>14426380</v>
      </c>
      <c r="Y15">
        <f t="shared" si="11"/>
        <v>14518770.000000002</v>
      </c>
      <c r="Z15">
        <f t="shared" si="12"/>
        <v>14549610</v>
      </c>
    </row>
    <row r="16" spans="1:26" ht="51" x14ac:dyDescent="0.25">
      <c r="A16" s="1" t="s">
        <v>13</v>
      </c>
      <c r="B16" s="17">
        <v>2922.5</v>
      </c>
      <c r="C16" s="18">
        <v>2954</v>
      </c>
      <c r="D16" s="17">
        <v>3008.1</v>
      </c>
      <c r="E16" s="17">
        <v>3056.5</v>
      </c>
      <c r="F16" s="17">
        <v>3108</v>
      </c>
      <c r="G16" s="17">
        <v>3161.5</v>
      </c>
      <c r="H16" s="3">
        <v>321698</v>
      </c>
      <c r="I16" s="3">
        <v>326675</v>
      </c>
      <c r="J16" s="3">
        <v>333620</v>
      </c>
      <c r="K16" s="3">
        <v>337263</v>
      </c>
      <c r="L16" s="17">
        <v>3372.6</v>
      </c>
      <c r="M16" s="17">
        <v>3372.6</v>
      </c>
      <c r="O16">
        <f t="shared" si="1"/>
        <v>292250</v>
      </c>
      <c r="P16">
        <f t="shared" si="2"/>
        <v>295400</v>
      </c>
      <c r="Q16">
        <f t="shared" si="3"/>
        <v>300810</v>
      </c>
      <c r="R16">
        <f t="shared" si="4"/>
        <v>305650</v>
      </c>
      <c r="S16">
        <f t="shared" si="5"/>
        <v>310800</v>
      </c>
      <c r="T16">
        <f t="shared" si="6"/>
        <v>316150</v>
      </c>
      <c r="U16">
        <f t="shared" si="7"/>
        <v>32169800</v>
      </c>
      <c r="V16">
        <f t="shared" si="8"/>
        <v>32667500</v>
      </c>
      <c r="W16">
        <f t="shared" si="9"/>
        <v>33362000</v>
      </c>
      <c r="X16">
        <f t="shared" si="10"/>
        <v>33726300</v>
      </c>
      <c r="Y16">
        <f t="shared" si="11"/>
        <v>337260</v>
      </c>
      <c r="Z16">
        <f t="shared" si="12"/>
        <v>337260</v>
      </c>
    </row>
    <row r="17" spans="1:26" ht="25.5" x14ac:dyDescent="0.25">
      <c r="A17" s="1" t="s">
        <v>14</v>
      </c>
      <c r="B17" s="17">
        <v>136554.9</v>
      </c>
      <c r="C17" s="18">
        <v>137743.9</v>
      </c>
      <c r="D17" s="17">
        <v>142668.1</v>
      </c>
      <c r="E17" s="17">
        <v>142872.9</v>
      </c>
      <c r="F17" s="17">
        <v>142952.70000000001</v>
      </c>
      <c r="G17" s="17">
        <v>143193.79999999999</v>
      </c>
      <c r="H17" s="3">
        <v>14394563</v>
      </c>
      <c r="I17" s="3">
        <v>14598083</v>
      </c>
      <c r="J17" s="3">
        <v>14756528</v>
      </c>
      <c r="K17" s="3">
        <v>14763643</v>
      </c>
      <c r="L17" s="17">
        <v>148560.4</v>
      </c>
      <c r="M17" s="17">
        <v>148868.70000000001</v>
      </c>
      <c r="O17">
        <f t="shared" si="1"/>
        <v>13655490</v>
      </c>
      <c r="P17">
        <f t="shared" si="2"/>
        <v>13774390</v>
      </c>
      <c r="Q17">
        <f t="shared" si="3"/>
        <v>14266810</v>
      </c>
      <c r="R17">
        <f t="shared" si="4"/>
        <v>14287290</v>
      </c>
      <c r="S17">
        <f t="shared" si="5"/>
        <v>14295270.000000002</v>
      </c>
      <c r="T17">
        <f t="shared" si="6"/>
        <v>14319379.999999998</v>
      </c>
      <c r="U17">
        <f t="shared" si="7"/>
        <v>1439456300</v>
      </c>
      <c r="V17">
        <f t="shared" si="8"/>
        <v>1459808300</v>
      </c>
      <c r="W17">
        <f t="shared" si="9"/>
        <v>1475652800</v>
      </c>
      <c r="X17">
        <f t="shared" si="10"/>
        <v>1476364300</v>
      </c>
      <c r="Y17">
        <f t="shared" si="11"/>
        <v>14856040</v>
      </c>
      <c r="Z17">
        <f t="shared" si="12"/>
        <v>14886870.000000002</v>
      </c>
    </row>
    <row r="18" spans="1:26" x14ac:dyDescent="0.25">
      <c r="A18" s="1"/>
    </row>
    <row r="19" spans="1:26" x14ac:dyDescent="0.25">
      <c r="A19" s="1"/>
    </row>
    <row r="21" spans="1:26" x14ac:dyDescent="0.25">
      <c r="A21" t="s">
        <v>138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F787-FF68-48C2-A165-747CA56E30A2}">
  <dimension ref="A1:Z20"/>
  <sheetViews>
    <sheetView topLeftCell="H1" workbookViewId="0">
      <pane ySplit="1" topLeftCell="A3" activePane="bottomLeft" state="frozen"/>
      <selection pane="bottomLeft" activeCell="N8" sqref="N8"/>
    </sheetView>
  </sheetViews>
  <sheetFormatPr defaultRowHeight="15" x14ac:dyDescent="0.25"/>
  <sheetData>
    <row r="1" spans="1:26" x14ac:dyDescent="0.25">
      <c r="A1" s="2" t="s">
        <v>15</v>
      </c>
      <c r="B1" s="14" t="s">
        <v>125</v>
      </c>
      <c r="C1" s="14" t="s">
        <v>126</v>
      </c>
      <c r="D1" s="14" t="s">
        <v>127</v>
      </c>
      <c r="E1" s="14" t="s">
        <v>128</v>
      </c>
      <c r="F1" s="14" t="s">
        <v>116</v>
      </c>
      <c r="G1" s="14" t="s">
        <v>129</v>
      </c>
      <c r="H1" s="14" t="s">
        <v>130</v>
      </c>
      <c r="I1" s="14" t="s">
        <v>131</v>
      </c>
      <c r="J1" s="14" t="s">
        <v>132</v>
      </c>
      <c r="K1" s="14" t="s">
        <v>133</v>
      </c>
      <c r="L1" s="14" t="s">
        <v>134</v>
      </c>
      <c r="M1" s="14" t="s">
        <v>135</v>
      </c>
      <c r="O1" s="14" t="s">
        <v>125</v>
      </c>
      <c r="P1" s="14" t="s">
        <v>126</v>
      </c>
      <c r="Q1" s="14" t="s">
        <v>127</v>
      </c>
      <c r="R1" s="14" t="s">
        <v>128</v>
      </c>
      <c r="S1" s="14" t="s">
        <v>116</v>
      </c>
      <c r="T1" s="14" t="s">
        <v>129</v>
      </c>
      <c r="U1" s="14" t="s">
        <v>130</v>
      </c>
      <c r="V1" s="14" t="s">
        <v>131</v>
      </c>
      <c r="W1" s="14" t="s">
        <v>132</v>
      </c>
      <c r="X1" s="14" t="s">
        <v>133</v>
      </c>
      <c r="Y1" s="14" t="s">
        <v>134</v>
      </c>
      <c r="Z1" s="14" t="s">
        <v>135</v>
      </c>
    </row>
    <row r="2" spans="1:26" ht="89.25" x14ac:dyDescent="0.25">
      <c r="A2" s="1" t="s">
        <v>0</v>
      </c>
      <c r="B2" s="19">
        <v>9134.7999999999993</v>
      </c>
      <c r="C2" s="17">
        <v>10644.9</v>
      </c>
      <c r="D2" s="18">
        <v>12641.2</v>
      </c>
      <c r="E2" s="18">
        <v>13621.9</v>
      </c>
      <c r="F2" s="17">
        <v>14133.1</v>
      </c>
      <c r="G2" s="18">
        <v>14526.5</v>
      </c>
      <c r="H2" s="17">
        <v>14694.9</v>
      </c>
      <c r="I2" s="17">
        <v>14896.5</v>
      </c>
      <c r="J2" s="18">
        <v>14970.3</v>
      </c>
      <c r="K2" s="17">
        <v>15485.6</v>
      </c>
      <c r="L2" s="17">
        <v>15815.5</v>
      </c>
      <c r="M2" s="17">
        <v>16164.2</v>
      </c>
      <c r="O2">
        <f>B2*100</f>
        <v>913479.99999999988</v>
      </c>
      <c r="P2">
        <f t="shared" ref="P2:Z2" si="0">C2*100</f>
        <v>1064490</v>
      </c>
      <c r="Q2">
        <f t="shared" si="0"/>
        <v>1264120</v>
      </c>
      <c r="R2">
        <f t="shared" si="0"/>
        <v>1362190</v>
      </c>
      <c r="S2">
        <f t="shared" si="0"/>
        <v>1413310</v>
      </c>
      <c r="T2">
        <f t="shared" si="0"/>
        <v>1452650</v>
      </c>
      <c r="U2">
        <f t="shared" si="0"/>
        <v>1469490</v>
      </c>
      <c r="V2">
        <f t="shared" si="0"/>
        <v>1489650</v>
      </c>
      <c r="W2">
        <f t="shared" si="0"/>
        <v>1497030</v>
      </c>
      <c r="X2">
        <f t="shared" si="0"/>
        <v>1548560</v>
      </c>
      <c r="Y2">
        <f t="shared" si="0"/>
        <v>1581550</v>
      </c>
      <c r="Z2">
        <f t="shared" si="0"/>
        <v>1616420</v>
      </c>
    </row>
    <row r="3" spans="1:26" ht="51" x14ac:dyDescent="0.25">
      <c r="A3" s="1" t="s">
        <v>1</v>
      </c>
      <c r="B3" s="19">
        <v>9628.7000000000007</v>
      </c>
      <c r="C3" s="17">
        <v>11067.9</v>
      </c>
      <c r="D3" s="18">
        <v>13101.8</v>
      </c>
      <c r="E3" s="18">
        <v>14069.5</v>
      </c>
      <c r="F3" s="17">
        <v>14627.6</v>
      </c>
      <c r="G3" s="18">
        <v>15074.4</v>
      </c>
      <c r="H3" s="17">
        <v>15226.7</v>
      </c>
      <c r="I3" s="17">
        <v>15457.6</v>
      </c>
      <c r="J3" s="18">
        <v>15632.5</v>
      </c>
      <c r="K3" s="17">
        <v>16091.9</v>
      </c>
      <c r="L3" s="17">
        <v>16344.5</v>
      </c>
      <c r="M3" s="17">
        <v>16717.7</v>
      </c>
      <c r="O3">
        <f t="shared" ref="O3:O17" si="1">B3*100</f>
        <v>962870.00000000012</v>
      </c>
      <c r="P3">
        <f t="shared" ref="P3:P17" si="2">C3*100</f>
        <v>1106790</v>
      </c>
      <c r="Q3">
        <f t="shared" ref="Q3:Q17" si="3">D3*100</f>
        <v>1310180</v>
      </c>
      <c r="R3">
        <f t="shared" ref="R3:R17" si="4">E3*100</f>
        <v>1406950</v>
      </c>
      <c r="S3">
        <f t="shared" ref="S3:S17" si="5">F3*100</f>
        <v>1462760</v>
      </c>
      <c r="T3">
        <f t="shared" ref="T3:T17" si="6">G3*100</f>
        <v>1507440</v>
      </c>
      <c r="U3">
        <f t="shared" ref="U3:U17" si="7">H3*100</f>
        <v>1522670</v>
      </c>
      <c r="V3">
        <f t="shared" ref="V3:V17" si="8">I3*100</f>
        <v>1545760</v>
      </c>
      <c r="W3">
        <f t="shared" ref="W3:W17" si="9">J3*100</f>
        <v>1563250</v>
      </c>
      <c r="X3">
        <f t="shared" ref="X3:X17" si="10">K3*100</f>
        <v>1609190</v>
      </c>
      <c r="Y3">
        <f t="shared" ref="Y3:Y17" si="11">L3*100</f>
        <v>1634450</v>
      </c>
      <c r="Z3">
        <f t="shared" ref="Z3:Z17" si="12">M3*100</f>
        <v>1671770</v>
      </c>
    </row>
    <row r="4" spans="1:26" ht="63.75" x14ac:dyDescent="0.25">
      <c r="A4" s="1" t="s">
        <v>2</v>
      </c>
      <c r="B4" s="19">
        <v>240.7</v>
      </c>
      <c r="C4" s="17">
        <v>242</v>
      </c>
      <c r="D4" s="18">
        <v>243.4</v>
      </c>
      <c r="E4" s="18">
        <v>244.2</v>
      </c>
      <c r="F4" s="17">
        <v>245</v>
      </c>
      <c r="G4" s="18">
        <v>245.7</v>
      </c>
      <c r="H4" s="17">
        <v>245.7</v>
      </c>
      <c r="I4" s="17">
        <v>246.3</v>
      </c>
      <c r="J4" s="18">
        <v>247.4</v>
      </c>
      <c r="K4" s="17">
        <v>247.9</v>
      </c>
      <c r="L4" s="17">
        <v>248.2</v>
      </c>
      <c r="M4" s="17">
        <v>248.5</v>
      </c>
      <c r="O4">
        <f t="shared" si="1"/>
        <v>24070</v>
      </c>
      <c r="P4">
        <f t="shared" si="2"/>
        <v>24200</v>
      </c>
      <c r="Q4">
        <f t="shared" si="3"/>
        <v>24340</v>
      </c>
      <c r="R4">
        <f t="shared" si="4"/>
        <v>24420</v>
      </c>
      <c r="S4">
        <f t="shared" si="5"/>
        <v>24500</v>
      </c>
      <c r="T4">
        <f t="shared" si="6"/>
        <v>24570</v>
      </c>
      <c r="U4">
        <f t="shared" si="7"/>
        <v>24570</v>
      </c>
      <c r="V4">
        <f t="shared" si="8"/>
        <v>24630</v>
      </c>
      <c r="W4">
        <f t="shared" si="9"/>
        <v>24740</v>
      </c>
      <c r="X4">
        <f t="shared" si="10"/>
        <v>24790</v>
      </c>
      <c r="Y4">
        <f t="shared" si="11"/>
        <v>24820</v>
      </c>
      <c r="Z4">
        <f t="shared" si="12"/>
        <v>24850</v>
      </c>
    </row>
    <row r="5" spans="1:26" ht="63.75" x14ac:dyDescent="0.25">
      <c r="A5" s="1" t="s">
        <v>3</v>
      </c>
      <c r="B5" s="19">
        <v>7.4</v>
      </c>
      <c r="C5" s="17">
        <v>7.4</v>
      </c>
      <c r="D5" s="18">
        <v>7.4</v>
      </c>
      <c r="E5" s="18">
        <v>7.4</v>
      </c>
      <c r="F5" s="17">
        <v>7.4</v>
      </c>
      <c r="G5" s="18">
        <v>7.4</v>
      </c>
      <c r="H5" s="17">
        <v>7.4</v>
      </c>
      <c r="I5" s="17">
        <v>7.4</v>
      </c>
      <c r="J5" s="18">
        <v>7.4</v>
      </c>
      <c r="K5" s="17">
        <v>7.4</v>
      </c>
      <c r="L5" s="17">
        <v>7.4</v>
      </c>
      <c r="M5" s="17">
        <v>7.4</v>
      </c>
      <c r="O5">
        <f t="shared" si="1"/>
        <v>740</v>
      </c>
      <c r="P5">
        <f t="shared" si="2"/>
        <v>740</v>
      </c>
      <c r="Q5">
        <f t="shared" si="3"/>
        <v>740</v>
      </c>
      <c r="R5">
        <f t="shared" si="4"/>
        <v>740</v>
      </c>
      <c r="S5">
        <f t="shared" si="5"/>
        <v>740</v>
      </c>
      <c r="T5">
        <f t="shared" si="6"/>
        <v>740</v>
      </c>
      <c r="U5">
        <f t="shared" si="7"/>
        <v>740</v>
      </c>
      <c r="V5">
        <f t="shared" si="8"/>
        <v>740</v>
      </c>
      <c r="W5">
        <f t="shared" si="9"/>
        <v>740</v>
      </c>
      <c r="X5">
        <f t="shared" si="10"/>
        <v>740</v>
      </c>
      <c r="Y5">
        <f t="shared" si="11"/>
        <v>740</v>
      </c>
      <c r="Z5">
        <f t="shared" si="12"/>
        <v>740</v>
      </c>
    </row>
    <row r="6" spans="1:26" ht="51" x14ac:dyDescent="0.25">
      <c r="A6" s="1" t="s">
        <v>4</v>
      </c>
      <c r="B6" s="19">
        <v>742</v>
      </c>
      <c r="C6" s="17">
        <v>672.5</v>
      </c>
      <c r="D6" s="18">
        <v>711.4</v>
      </c>
      <c r="E6" s="18">
        <v>699.2</v>
      </c>
      <c r="F6" s="17">
        <v>746.9</v>
      </c>
      <c r="G6" s="18">
        <v>801</v>
      </c>
      <c r="H6" s="17">
        <v>784.9</v>
      </c>
      <c r="I6" s="17">
        <v>814.9</v>
      </c>
      <c r="J6" s="18">
        <v>917</v>
      </c>
      <c r="K6" s="17">
        <v>861.7</v>
      </c>
      <c r="L6" s="17">
        <v>784.7</v>
      </c>
      <c r="M6" s="17">
        <v>809.4</v>
      </c>
      <c r="O6">
        <f t="shared" si="1"/>
        <v>74200</v>
      </c>
      <c r="P6">
        <f t="shared" si="2"/>
        <v>67250</v>
      </c>
      <c r="Q6">
        <f t="shared" si="3"/>
        <v>71140</v>
      </c>
      <c r="R6">
        <f t="shared" si="4"/>
        <v>69920</v>
      </c>
      <c r="S6">
        <f t="shared" si="5"/>
        <v>74690</v>
      </c>
      <c r="T6">
        <f t="shared" si="6"/>
        <v>80100</v>
      </c>
      <c r="U6">
        <f t="shared" si="7"/>
        <v>78490</v>
      </c>
      <c r="V6">
        <f t="shared" si="8"/>
        <v>81490</v>
      </c>
      <c r="W6">
        <f t="shared" si="9"/>
        <v>91700</v>
      </c>
      <c r="X6">
        <f t="shared" si="10"/>
        <v>86170</v>
      </c>
      <c r="Y6">
        <f t="shared" si="11"/>
        <v>78470</v>
      </c>
      <c r="Z6">
        <f t="shared" si="12"/>
        <v>80940</v>
      </c>
    </row>
    <row r="7" spans="1:26" ht="25.5" x14ac:dyDescent="0.25">
      <c r="B7" s="19"/>
      <c r="C7" s="17"/>
      <c r="D7" s="18"/>
      <c r="E7" s="18"/>
      <c r="F7" s="17"/>
      <c r="G7" s="18"/>
      <c r="H7" s="17"/>
      <c r="I7" s="17"/>
      <c r="J7" s="18"/>
      <c r="K7" s="17"/>
      <c r="L7" s="17"/>
      <c r="M7" s="17"/>
      <c r="N7" s="1" t="s">
        <v>144</v>
      </c>
      <c r="O7">
        <f>O3+O4+O5+O6</f>
        <v>1061880</v>
      </c>
      <c r="P7">
        <f t="shared" ref="P7:Z7" si="13">P3+P4+P5+P6</f>
        <v>1198980</v>
      </c>
      <c r="Q7">
        <f t="shared" si="13"/>
        <v>1406400</v>
      </c>
      <c r="R7">
        <f t="shared" si="13"/>
        <v>1502030</v>
      </c>
      <c r="S7">
        <f t="shared" si="13"/>
        <v>1562690</v>
      </c>
      <c r="T7">
        <f t="shared" si="13"/>
        <v>1612850</v>
      </c>
      <c r="U7">
        <f t="shared" si="13"/>
        <v>1626470</v>
      </c>
      <c r="V7">
        <f t="shared" si="13"/>
        <v>1652620</v>
      </c>
      <c r="W7">
        <f t="shared" si="13"/>
        <v>1680430</v>
      </c>
      <c r="X7">
        <f t="shared" si="13"/>
        <v>1720890</v>
      </c>
      <c r="Y7">
        <f t="shared" si="13"/>
        <v>1738480</v>
      </c>
      <c r="Z7">
        <f t="shared" si="13"/>
        <v>1778300</v>
      </c>
    </row>
    <row r="8" spans="1:26" ht="51" x14ac:dyDescent="0.25">
      <c r="A8" s="1" t="s">
        <v>5</v>
      </c>
      <c r="B8" s="19">
        <v>11834.5</v>
      </c>
      <c r="C8" s="17">
        <v>11865.3</v>
      </c>
      <c r="D8" s="18">
        <v>14178.3</v>
      </c>
      <c r="E8" s="18">
        <v>12487.3</v>
      </c>
      <c r="F8" s="17">
        <v>12086.8</v>
      </c>
      <c r="G8" s="18">
        <v>12483.5</v>
      </c>
      <c r="H8" s="17">
        <v>12193.4</v>
      </c>
      <c r="I8" s="17">
        <v>12380.5</v>
      </c>
      <c r="J8" s="18">
        <v>13760</v>
      </c>
      <c r="K8" s="17">
        <v>12763.5</v>
      </c>
      <c r="L8" s="17">
        <v>12495.2</v>
      </c>
      <c r="M8" s="17">
        <v>12699</v>
      </c>
      <c r="O8">
        <f t="shared" si="1"/>
        <v>1183450</v>
      </c>
      <c r="P8">
        <f t="shared" si="2"/>
        <v>1186530</v>
      </c>
      <c r="Q8">
        <f t="shared" si="3"/>
        <v>1417830</v>
      </c>
      <c r="R8">
        <f t="shared" si="4"/>
        <v>1248730</v>
      </c>
      <c r="S8">
        <f t="shared" si="5"/>
        <v>1208680</v>
      </c>
      <c r="T8">
        <f t="shared" si="6"/>
        <v>1248350</v>
      </c>
      <c r="U8">
        <f t="shared" si="7"/>
        <v>1219340</v>
      </c>
      <c r="V8">
        <f t="shared" si="8"/>
        <v>1238050</v>
      </c>
      <c r="W8">
        <f t="shared" si="9"/>
        <v>1376000</v>
      </c>
      <c r="X8">
        <f t="shared" si="10"/>
        <v>1276350</v>
      </c>
      <c r="Y8">
        <f t="shared" si="11"/>
        <v>1249520</v>
      </c>
      <c r="Z8">
        <f t="shared" si="12"/>
        <v>1269900</v>
      </c>
    </row>
    <row r="9" spans="1:26" ht="63.75" x14ac:dyDescent="0.25">
      <c r="A9" s="1" t="s">
        <v>6</v>
      </c>
      <c r="B9" s="19">
        <v>11679.2</v>
      </c>
      <c r="C9" s="17">
        <v>11709</v>
      </c>
      <c r="D9" s="18">
        <v>13967.4</v>
      </c>
      <c r="E9" s="18">
        <v>12310.7</v>
      </c>
      <c r="F9" s="17">
        <v>11909.1</v>
      </c>
      <c r="G9" s="18">
        <v>12281.8</v>
      </c>
      <c r="H9" s="17">
        <v>12013.8</v>
      </c>
      <c r="I9" s="17">
        <v>12175.7</v>
      </c>
      <c r="J9" s="18">
        <v>13503.1</v>
      </c>
      <c r="K9" s="17">
        <v>12538.7</v>
      </c>
      <c r="L9" s="17">
        <v>12266</v>
      </c>
      <c r="M9" s="17">
        <v>12470.1</v>
      </c>
      <c r="O9">
        <f t="shared" si="1"/>
        <v>1167920</v>
      </c>
      <c r="P9">
        <f t="shared" si="2"/>
        <v>1170900</v>
      </c>
      <c r="Q9">
        <f t="shared" si="3"/>
        <v>1396740</v>
      </c>
      <c r="R9">
        <f t="shared" si="4"/>
        <v>1231070</v>
      </c>
      <c r="S9">
        <f t="shared" si="5"/>
        <v>1190910</v>
      </c>
      <c r="T9">
        <f t="shared" si="6"/>
        <v>1228180</v>
      </c>
      <c r="U9">
        <f t="shared" si="7"/>
        <v>1201380</v>
      </c>
      <c r="V9">
        <f t="shared" si="8"/>
        <v>1217570</v>
      </c>
      <c r="W9">
        <f t="shared" si="9"/>
        <v>1350310</v>
      </c>
      <c r="X9">
        <f t="shared" si="10"/>
        <v>1253870</v>
      </c>
      <c r="Y9">
        <f t="shared" si="11"/>
        <v>1226600</v>
      </c>
      <c r="Z9">
        <f t="shared" si="12"/>
        <v>1247010</v>
      </c>
    </row>
    <row r="10" spans="1:26" ht="76.5" x14ac:dyDescent="0.25">
      <c r="A10" s="1" t="s">
        <v>7</v>
      </c>
      <c r="B10" s="19">
        <v>155.30000000000001</v>
      </c>
      <c r="C10" s="17">
        <v>156.30000000000001</v>
      </c>
      <c r="D10" s="18">
        <v>210.9</v>
      </c>
      <c r="E10" s="18">
        <v>176.6</v>
      </c>
      <c r="F10" s="17">
        <v>177.7</v>
      </c>
      <c r="G10" s="18">
        <v>201.8</v>
      </c>
      <c r="H10" s="17">
        <v>179.6</v>
      </c>
      <c r="I10" s="17">
        <v>204.8</v>
      </c>
      <c r="J10" s="18">
        <v>256.89999999999998</v>
      </c>
      <c r="K10" s="17">
        <v>224.8</v>
      </c>
      <c r="L10" s="17">
        <v>229.2</v>
      </c>
      <c r="M10" s="17">
        <v>228.9</v>
      </c>
      <c r="O10">
        <f t="shared" si="1"/>
        <v>15530.000000000002</v>
      </c>
      <c r="P10">
        <f t="shared" si="2"/>
        <v>15630.000000000002</v>
      </c>
      <c r="Q10">
        <f t="shared" si="3"/>
        <v>21090</v>
      </c>
      <c r="R10">
        <f t="shared" si="4"/>
        <v>17660</v>
      </c>
      <c r="S10">
        <f t="shared" si="5"/>
        <v>17770</v>
      </c>
      <c r="T10">
        <f t="shared" si="6"/>
        <v>20180</v>
      </c>
      <c r="U10">
        <f t="shared" si="7"/>
        <v>17960</v>
      </c>
      <c r="V10">
        <f t="shared" si="8"/>
        <v>20480</v>
      </c>
      <c r="W10">
        <f t="shared" si="9"/>
        <v>25689.999999999996</v>
      </c>
      <c r="X10">
        <f t="shared" si="10"/>
        <v>22480</v>
      </c>
      <c r="Y10">
        <f t="shared" si="11"/>
        <v>22920</v>
      </c>
      <c r="Z10">
        <f t="shared" si="12"/>
        <v>22890</v>
      </c>
    </row>
    <row r="11" spans="1:26" ht="25.5" x14ac:dyDescent="0.25">
      <c r="A11" s="1" t="s">
        <v>8</v>
      </c>
      <c r="B11" s="19">
        <v>20969.3</v>
      </c>
      <c r="C11" s="17">
        <v>22510.2</v>
      </c>
      <c r="D11" s="18">
        <v>26819.599999999999</v>
      </c>
      <c r="E11" s="18">
        <v>26109.3</v>
      </c>
      <c r="F11" s="17">
        <v>26220</v>
      </c>
      <c r="G11" s="18">
        <v>27010</v>
      </c>
      <c r="H11" s="17">
        <v>26888.400000000001</v>
      </c>
      <c r="I11" s="17">
        <v>27277</v>
      </c>
      <c r="J11" s="18">
        <v>28730.3</v>
      </c>
      <c r="K11" s="17">
        <v>28249.1</v>
      </c>
      <c r="L11" s="17">
        <v>28310.7</v>
      </c>
      <c r="M11" s="17">
        <v>28863.200000000001</v>
      </c>
      <c r="O11">
        <f t="shared" si="1"/>
        <v>2096930</v>
      </c>
      <c r="P11">
        <f t="shared" si="2"/>
        <v>2251020</v>
      </c>
      <c r="Q11">
        <f t="shared" si="3"/>
        <v>2681960</v>
      </c>
      <c r="R11">
        <f t="shared" si="4"/>
        <v>2610930</v>
      </c>
      <c r="S11">
        <f t="shared" si="5"/>
        <v>2622000</v>
      </c>
      <c r="T11">
        <f t="shared" si="6"/>
        <v>2701000</v>
      </c>
      <c r="U11">
        <f t="shared" si="7"/>
        <v>2688840</v>
      </c>
      <c r="V11">
        <f t="shared" si="8"/>
        <v>2727700</v>
      </c>
      <c r="W11">
        <f t="shared" si="9"/>
        <v>2873030</v>
      </c>
      <c r="X11">
        <f t="shared" si="10"/>
        <v>2824910</v>
      </c>
      <c r="Y11">
        <f t="shared" si="11"/>
        <v>2831070</v>
      </c>
      <c r="Z11">
        <f t="shared" si="12"/>
        <v>2886320</v>
      </c>
    </row>
    <row r="12" spans="1:26" ht="63.75" x14ac:dyDescent="0.25">
      <c r="A12" s="1" t="s">
        <v>9</v>
      </c>
      <c r="B12" s="19">
        <v>930.9</v>
      </c>
      <c r="C12" s="17">
        <v>926.4</v>
      </c>
      <c r="D12" s="18">
        <v>920.6</v>
      </c>
      <c r="E12" s="18">
        <v>931.3</v>
      </c>
      <c r="F12" s="17">
        <v>935.7</v>
      </c>
      <c r="G12" s="18">
        <v>946.7</v>
      </c>
      <c r="H12" s="17">
        <v>958.9</v>
      </c>
      <c r="I12" s="17">
        <v>968.8</v>
      </c>
      <c r="J12" s="18">
        <v>981.1</v>
      </c>
      <c r="K12" s="17">
        <v>995.5</v>
      </c>
      <c r="L12" s="17">
        <v>1006</v>
      </c>
      <c r="M12" s="17">
        <v>1028</v>
      </c>
      <c r="O12">
        <f t="shared" si="1"/>
        <v>93090</v>
      </c>
      <c r="P12">
        <f t="shared" si="2"/>
        <v>92640</v>
      </c>
      <c r="Q12">
        <f t="shared" si="3"/>
        <v>92060</v>
      </c>
      <c r="R12">
        <f t="shared" si="4"/>
        <v>93130</v>
      </c>
      <c r="S12">
        <f t="shared" si="5"/>
        <v>93570</v>
      </c>
      <c r="T12">
        <f t="shared" si="6"/>
        <v>94670</v>
      </c>
      <c r="U12">
        <f t="shared" si="7"/>
        <v>95890</v>
      </c>
      <c r="V12">
        <f t="shared" si="8"/>
        <v>96880</v>
      </c>
      <c r="W12">
        <f t="shared" si="9"/>
        <v>98110</v>
      </c>
      <c r="X12">
        <f t="shared" si="10"/>
        <v>99550</v>
      </c>
      <c r="Y12">
        <f t="shared" si="11"/>
        <v>100600</v>
      </c>
      <c r="Z12">
        <f t="shared" si="12"/>
        <v>102800</v>
      </c>
    </row>
    <row r="13" spans="1:26" ht="25.5" x14ac:dyDescent="0.25">
      <c r="A13" s="1" t="s">
        <v>10</v>
      </c>
      <c r="B13" s="19">
        <v>21900.3</v>
      </c>
      <c r="C13" s="17">
        <v>23436.6</v>
      </c>
      <c r="D13" s="18">
        <v>27740.2</v>
      </c>
      <c r="E13" s="18">
        <v>27040.5</v>
      </c>
      <c r="F13" s="17">
        <v>27155.7</v>
      </c>
      <c r="G13" s="18">
        <v>27956.7</v>
      </c>
      <c r="H13" s="17">
        <v>27847.3</v>
      </c>
      <c r="I13" s="17">
        <v>28245.8</v>
      </c>
      <c r="J13" s="18">
        <v>29711.4</v>
      </c>
      <c r="K13" s="17">
        <v>29244.6</v>
      </c>
      <c r="L13" s="17">
        <v>29316.799999999999</v>
      </c>
      <c r="M13" s="17">
        <v>29891.200000000001</v>
      </c>
      <c r="O13">
        <f t="shared" si="1"/>
        <v>2190030</v>
      </c>
      <c r="P13">
        <f t="shared" si="2"/>
        <v>2343660</v>
      </c>
      <c r="Q13">
        <f t="shared" si="3"/>
        <v>2774020</v>
      </c>
      <c r="R13">
        <f t="shared" si="4"/>
        <v>2704050</v>
      </c>
      <c r="S13">
        <f t="shared" si="5"/>
        <v>2715570</v>
      </c>
      <c r="T13">
        <f t="shared" si="6"/>
        <v>2795670</v>
      </c>
      <c r="U13">
        <f t="shared" si="7"/>
        <v>2784730</v>
      </c>
      <c r="V13">
        <f t="shared" si="8"/>
        <v>2824580</v>
      </c>
      <c r="W13">
        <f t="shared" si="9"/>
        <v>2971140</v>
      </c>
      <c r="X13">
        <f t="shared" si="10"/>
        <v>2924460</v>
      </c>
      <c r="Y13">
        <f t="shared" si="11"/>
        <v>2931680</v>
      </c>
      <c r="Z13">
        <f t="shared" si="12"/>
        <v>2989120</v>
      </c>
    </row>
    <row r="14" spans="1:26" ht="51" x14ac:dyDescent="0.25">
      <c r="A14" s="1" t="s">
        <v>11</v>
      </c>
      <c r="B14" s="19">
        <v>100098</v>
      </c>
      <c r="C14" s="17">
        <v>100113.2</v>
      </c>
      <c r="D14" s="18">
        <v>101099.8</v>
      </c>
      <c r="E14" s="18">
        <v>100729.5</v>
      </c>
      <c r="F14" s="17">
        <v>100497.3</v>
      </c>
      <c r="G14" s="18">
        <v>100574.5</v>
      </c>
      <c r="H14" s="17">
        <v>101192.7</v>
      </c>
      <c r="I14" s="17">
        <v>101549.6</v>
      </c>
      <c r="J14" s="18">
        <v>103113</v>
      </c>
      <c r="K14" s="17">
        <v>102904.1</v>
      </c>
      <c r="L14" s="17">
        <v>103162.4</v>
      </c>
      <c r="M14" s="17">
        <v>103223.6</v>
      </c>
      <c r="O14">
        <f t="shared" si="1"/>
        <v>10009800</v>
      </c>
      <c r="P14">
        <f t="shared" si="2"/>
        <v>10011320</v>
      </c>
      <c r="Q14">
        <f t="shared" si="3"/>
        <v>10109980</v>
      </c>
      <c r="R14">
        <f t="shared" si="4"/>
        <v>10072950</v>
      </c>
      <c r="S14">
        <f t="shared" si="5"/>
        <v>10049730</v>
      </c>
      <c r="T14">
        <f t="shared" si="6"/>
        <v>10057450</v>
      </c>
      <c r="U14">
        <f t="shared" si="7"/>
        <v>10119270</v>
      </c>
      <c r="V14">
        <f t="shared" si="8"/>
        <v>10154960</v>
      </c>
      <c r="W14">
        <f t="shared" si="9"/>
        <v>10311300</v>
      </c>
      <c r="X14">
        <f t="shared" si="10"/>
        <v>10290410</v>
      </c>
      <c r="Y14">
        <f t="shared" si="11"/>
        <v>10316240</v>
      </c>
      <c r="Z14">
        <f t="shared" si="12"/>
        <v>10322360</v>
      </c>
    </row>
    <row r="15" spans="1:26" ht="25.5" x14ac:dyDescent="0.25">
      <c r="A15" s="1" t="s">
        <v>12</v>
      </c>
      <c r="B15" s="19">
        <v>121067.4</v>
      </c>
      <c r="C15" s="17">
        <v>122623.4</v>
      </c>
      <c r="D15" s="18">
        <v>127919.4</v>
      </c>
      <c r="E15" s="18">
        <v>126838.8</v>
      </c>
      <c r="F15" s="17">
        <v>126717.2</v>
      </c>
      <c r="G15" s="18">
        <v>127584.6</v>
      </c>
      <c r="H15" s="17">
        <v>128081</v>
      </c>
      <c r="I15" s="17">
        <v>128826.6</v>
      </c>
      <c r="J15" s="18">
        <v>131843.29999999999</v>
      </c>
      <c r="K15" s="17">
        <v>131153.20000000001</v>
      </c>
      <c r="L15" s="17">
        <v>131473.1</v>
      </c>
      <c r="M15" s="17">
        <v>132086.79999999999</v>
      </c>
      <c r="O15">
        <f t="shared" si="1"/>
        <v>12106740</v>
      </c>
      <c r="P15">
        <f t="shared" si="2"/>
        <v>12262340</v>
      </c>
      <c r="Q15">
        <f t="shared" si="3"/>
        <v>12791940</v>
      </c>
      <c r="R15">
        <f t="shared" si="4"/>
        <v>12683880</v>
      </c>
      <c r="S15">
        <f t="shared" si="5"/>
        <v>12671720</v>
      </c>
      <c r="T15">
        <f t="shared" si="6"/>
        <v>12758460</v>
      </c>
      <c r="U15">
        <f t="shared" si="7"/>
        <v>12808100</v>
      </c>
      <c r="V15">
        <f t="shared" si="8"/>
        <v>12882660</v>
      </c>
      <c r="W15">
        <f t="shared" si="9"/>
        <v>13184329.999999998</v>
      </c>
      <c r="X15">
        <f t="shared" si="10"/>
        <v>13115320.000000002</v>
      </c>
      <c r="Y15">
        <f t="shared" si="11"/>
        <v>13147310</v>
      </c>
      <c r="Z15">
        <f t="shared" si="12"/>
        <v>13208679.999999998</v>
      </c>
    </row>
    <row r="16" spans="1:26" ht="51" x14ac:dyDescent="0.25">
      <c r="A16" s="1" t="s">
        <v>13</v>
      </c>
      <c r="B16" s="19">
        <v>2542.1999999999998</v>
      </c>
      <c r="C16" s="17">
        <v>2544.3000000000002</v>
      </c>
      <c r="D16" s="18">
        <v>2562.1</v>
      </c>
      <c r="E16" s="18">
        <v>2586.1999999999998</v>
      </c>
      <c r="F16" s="17">
        <v>2613.1</v>
      </c>
      <c r="G16" s="18">
        <v>2647.1</v>
      </c>
      <c r="H16" s="17">
        <v>2683</v>
      </c>
      <c r="I16" s="17">
        <v>2717.2</v>
      </c>
      <c r="J16" s="18">
        <v>2752.4</v>
      </c>
      <c r="K16" s="17">
        <v>2790.6</v>
      </c>
      <c r="L16" s="17">
        <v>2828.6</v>
      </c>
      <c r="M16" s="17">
        <v>2881.4</v>
      </c>
      <c r="O16">
        <f t="shared" si="1"/>
        <v>254219.99999999997</v>
      </c>
      <c r="P16">
        <f t="shared" si="2"/>
        <v>254430.00000000003</v>
      </c>
      <c r="Q16">
        <f t="shared" si="3"/>
        <v>256210</v>
      </c>
      <c r="R16">
        <f t="shared" si="4"/>
        <v>258619.99999999997</v>
      </c>
      <c r="S16">
        <f t="shared" si="5"/>
        <v>261310</v>
      </c>
      <c r="T16">
        <f t="shared" si="6"/>
        <v>264710</v>
      </c>
      <c r="U16">
        <f t="shared" si="7"/>
        <v>268300</v>
      </c>
      <c r="V16">
        <f t="shared" si="8"/>
        <v>271720</v>
      </c>
      <c r="W16">
        <f t="shared" si="9"/>
        <v>275240</v>
      </c>
      <c r="X16">
        <f t="shared" si="10"/>
        <v>279060</v>
      </c>
      <c r="Y16">
        <f t="shared" si="11"/>
        <v>282860</v>
      </c>
      <c r="Z16">
        <f t="shared" si="12"/>
        <v>288140</v>
      </c>
    </row>
    <row r="17" spans="1:26" ht="25.5" x14ac:dyDescent="0.25">
      <c r="A17" s="1" t="s">
        <v>14</v>
      </c>
      <c r="B17" s="19">
        <v>123609.5</v>
      </c>
      <c r="C17" s="17">
        <v>125167.7</v>
      </c>
      <c r="D17" s="18">
        <v>130481.4</v>
      </c>
      <c r="E17" s="18">
        <v>129425</v>
      </c>
      <c r="F17" s="17">
        <v>129330.3</v>
      </c>
      <c r="G17" s="18">
        <v>130231.7</v>
      </c>
      <c r="H17" s="17">
        <v>130764.1</v>
      </c>
      <c r="I17" s="17">
        <v>131543.79999999999</v>
      </c>
      <c r="J17" s="18">
        <v>134595.70000000001</v>
      </c>
      <c r="K17" s="17">
        <v>133943.79999999999</v>
      </c>
      <c r="L17" s="17">
        <v>134301.6</v>
      </c>
      <c r="M17" s="17">
        <v>134968.20000000001</v>
      </c>
      <c r="O17">
        <f t="shared" si="1"/>
        <v>12360950</v>
      </c>
      <c r="P17">
        <f t="shared" si="2"/>
        <v>12516770</v>
      </c>
      <c r="Q17">
        <f t="shared" si="3"/>
        <v>13048140</v>
      </c>
      <c r="R17">
        <f t="shared" si="4"/>
        <v>12942500</v>
      </c>
      <c r="S17">
        <f t="shared" si="5"/>
        <v>12933030</v>
      </c>
      <c r="T17">
        <f t="shared" si="6"/>
        <v>13023170</v>
      </c>
      <c r="U17">
        <f t="shared" si="7"/>
        <v>13076410</v>
      </c>
      <c r="V17">
        <f t="shared" si="8"/>
        <v>13154379.999999998</v>
      </c>
      <c r="W17">
        <f t="shared" si="9"/>
        <v>13459570.000000002</v>
      </c>
      <c r="X17">
        <f t="shared" si="10"/>
        <v>13394379.999999998</v>
      </c>
      <c r="Y17">
        <f t="shared" si="11"/>
        <v>13430160</v>
      </c>
      <c r="Z17">
        <f t="shared" si="12"/>
        <v>13496820.000000002</v>
      </c>
    </row>
    <row r="18" spans="1:26" x14ac:dyDescent="0.25">
      <c r="A18" s="1"/>
    </row>
    <row r="19" spans="1:26" x14ac:dyDescent="0.25">
      <c r="A19" s="1"/>
    </row>
    <row r="20" spans="1:26" x14ac:dyDescent="0.25">
      <c r="A20" t="s">
        <v>138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7C2B-63C7-47A7-8518-0C505C7803D4}">
  <dimension ref="A1:AA23"/>
  <sheetViews>
    <sheetView topLeftCell="N1" zoomScale="120" zoomScaleNormal="120" workbookViewId="0">
      <pane ySplit="1" topLeftCell="A2" activePane="bottomLeft" state="frozen"/>
      <selection pane="bottomLeft" activeCell="Z7" sqref="O7:Z7"/>
    </sheetView>
  </sheetViews>
  <sheetFormatPr defaultColWidth="42.5703125" defaultRowHeight="15" x14ac:dyDescent="0.25"/>
  <cols>
    <col min="2" max="3" width="10.140625" bestFit="1" customWidth="1"/>
    <col min="4" max="4" width="9.85546875" bestFit="1" customWidth="1"/>
    <col min="5" max="7" width="10.140625" bestFit="1" customWidth="1"/>
    <col min="8" max="12" width="10.42578125" bestFit="1" customWidth="1"/>
    <col min="13" max="13" width="10.42578125" customWidth="1"/>
    <col min="14" max="14" width="14.85546875" bestFit="1" customWidth="1"/>
    <col min="15" max="23" width="9.7109375" bestFit="1" customWidth="1"/>
    <col min="24" max="24" width="9.85546875" bestFit="1" customWidth="1"/>
    <col min="25" max="25" width="9.28515625" bestFit="1" customWidth="1"/>
    <col min="26" max="26" width="9.85546875" bestFit="1" customWidth="1"/>
  </cols>
  <sheetData>
    <row r="1" spans="1:27" x14ac:dyDescent="0.25">
      <c r="A1" s="2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32</v>
      </c>
      <c r="T1" s="14" t="s">
        <v>33</v>
      </c>
      <c r="U1" s="14" t="s">
        <v>34</v>
      </c>
      <c r="V1" s="14" t="s">
        <v>35</v>
      </c>
      <c r="W1" s="14" t="s">
        <v>36</v>
      </c>
      <c r="X1" s="14" t="s">
        <v>37</v>
      </c>
      <c r="Y1" s="14" t="s">
        <v>38</v>
      </c>
      <c r="Z1" s="14" t="s">
        <v>39</v>
      </c>
      <c r="AA1" s="14"/>
    </row>
    <row r="2" spans="1:27" x14ac:dyDescent="0.25">
      <c r="A2" s="1" t="s">
        <v>0</v>
      </c>
      <c r="B2" s="19">
        <v>15172.7</v>
      </c>
      <c r="C2" s="18">
        <v>15587.3</v>
      </c>
      <c r="D2" s="20">
        <v>15935.4</v>
      </c>
      <c r="E2" s="19">
        <v>16486.2</v>
      </c>
      <c r="F2" s="19">
        <v>16603.3</v>
      </c>
      <c r="G2" s="18">
        <v>16618.900000000001</v>
      </c>
      <c r="H2" s="17">
        <v>16621.599999999999</v>
      </c>
      <c r="I2" s="19">
        <v>16738.8</v>
      </c>
      <c r="J2" s="19">
        <v>16564.8</v>
      </c>
      <c r="K2" s="18">
        <v>17022.099999999999</v>
      </c>
      <c r="L2" s="17">
        <v>8962.6</v>
      </c>
      <c r="M2" s="17">
        <v>7858.6</v>
      </c>
      <c r="O2">
        <f t="shared" ref="O2:O17" si="0">B2*100</f>
        <v>1517270</v>
      </c>
      <c r="P2">
        <f t="shared" ref="P2" si="1">C2*100</f>
        <v>1558730</v>
      </c>
      <c r="Q2">
        <f t="shared" ref="Q2" si="2">D2*100</f>
        <v>1593540</v>
      </c>
      <c r="R2">
        <f t="shared" ref="R2" si="3">E2*100</f>
        <v>1648620</v>
      </c>
      <c r="S2">
        <f t="shared" ref="S2" si="4">F2*100</f>
        <v>1660330</v>
      </c>
      <c r="T2">
        <f t="shared" ref="T2" si="5">G2*100</f>
        <v>1661890.0000000002</v>
      </c>
      <c r="U2">
        <f t="shared" ref="U2:U17" si="6">H2*100</f>
        <v>1662159.9999999998</v>
      </c>
      <c r="V2">
        <f t="shared" ref="V2:V17" si="7">I2*100</f>
        <v>1673880</v>
      </c>
      <c r="W2">
        <f t="shared" ref="W2:W17" si="8">J2*100</f>
        <v>1656480</v>
      </c>
      <c r="X2">
        <f t="shared" ref="X2:X17" si="9">K2*100</f>
        <v>1702209.9999999998</v>
      </c>
      <c r="Y2">
        <f t="shared" ref="Y2:Y17" si="10">L2*100</f>
        <v>896260</v>
      </c>
      <c r="Z2">
        <f t="shared" ref="Z2:Z17" si="11">M2*100</f>
        <v>785860</v>
      </c>
      <c r="AA2" s="14"/>
    </row>
    <row r="3" spans="1:27" x14ac:dyDescent="0.25">
      <c r="A3" s="1" t="s">
        <v>1</v>
      </c>
      <c r="B3" s="19">
        <v>15656.2</v>
      </c>
      <c r="C3" s="18">
        <v>16023.9</v>
      </c>
      <c r="D3" s="20">
        <v>16379.4</v>
      </c>
      <c r="E3" s="19">
        <v>16979.8</v>
      </c>
      <c r="F3" s="19">
        <v>17110.8</v>
      </c>
      <c r="G3" s="18">
        <v>17105</v>
      </c>
      <c r="H3" s="17">
        <v>17135.7</v>
      </c>
      <c r="I3" s="19">
        <v>17219.5</v>
      </c>
      <c r="J3" s="19">
        <v>17046.099999999999</v>
      </c>
      <c r="K3" s="18">
        <v>17540.2</v>
      </c>
      <c r="L3" s="17">
        <v>11642.4</v>
      </c>
      <c r="M3" s="17">
        <v>9185.9</v>
      </c>
      <c r="O3">
        <f t="shared" si="0"/>
        <v>1565620</v>
      </c>
      <c r="P3">
        <f t="shared" ref="P3:P17" si="12">C3*100</f>
        <v>1602390</v>
      </c>
      <c r="Q3">
        <f t="shared" ref="Q3:Q17" si="13">D3*100</f>
        <v>1637940</v>
      </c>
      <c r="R3">
        <f t="shared" ref="R3:R17" si="14">E3*100</f>
        <v>1697980</v>
      </c>
      <c r="S3">
        <f t="shared" ref="S3:S17" si="15">F3*100</f>
        <v>1711080</v>
      </c>
      <c r="T3">
        <f t="shared" ref="T3:T17" si="16">G3*100</f>
        <v>1710500</v>
      </c>
      <c r="U3">
        <f t="shared" si="6"/>
        <v>1713570</v>
      </c>
      <c r="V3">
        <f t="shared" si="7"/>
        <v>1721950</v>
      </c>
      <c r="W3">
        <f t="shared" si="8"/>
        <v>1704609.9999999998</v>
      </c>
      <c r="X3">
        <f t="shared" si="9"/>
        <v>1754020</v>
      </c>
      <c r="Y3">
        <f t="shared" si="10"/>
        <v>1164240</v>
      </c>
      <c r="Z3">
        <f t="shared" si="11"/>
        <v>918590</v>
      </c>
      <c r="AA3" s="14"/>
    </row>
    <row r="4" spans="1:27" x14ac:dyDescent="0.25">
      <c r="A4" s="1" t="s">
        <v>2</v>
      </c>
      <c r="B4" s="19">
        <v>207.7</v>
      </c>
      <c r="C4" s="18">
        <v>209.8</v>
      </c>
      <c r="D4" s="20">
        <v>211.6</v>
      </c>
      <c r="E4" s="19">
        <v>213.9</v>
      </c>
      <c r="F4" s="19">
        <v>216.3</v>
      </c>
      <c r="G4" s="18">
        <v>218.6</v>
      </c>
      <c r="H4" s="17">
        <v>220.5</v>
      </c>
      <c r="I4" s="19">
        <v>222.3</v>
      </c>
      <c r="J4" s="19">
        <v>225.3</v>
      </c>
      <c r="K4" s="18">
        <v>227.7</v>
      </c>
      <c r="L4" s="17">
        <v>234.4</v>
      </c>
      <c r="M4" s="17">
        <v>238.7</v>
      </c>
      <c r="O4">
        <f t="shared" si="0"/>
        <v>20770</v>
      </c>
      <c r="P4">
        <f t="shared" si="12"/>
        <v>20980</v>
      </c>
      <c r="Q4">
        <f t="shared" si="13"/>
        <v>21160</v>
      </c>
      <c r="R4">
        <f t="shared" si="14"/>
        <v>21390</v>
      </c>
      <c r="S4">
        <f t="shared" si="15"/>
        <v>21630</v>
      </c>
      <c r="T4">
        <f t="shared" si="16"/>
        <v>21860</v>
      </c>
      <c r="U4">
        <f t="shared" si="6"/>
        <v>22050</v>
      </c>
      <c r="V4">
        <f t="shared" si="7"/>
        <v>22230</v>
      </c>
      <c r="W4">
        <f t="shared" si="8"/>
        <v>22530</v>
      </c>
      <c r="X4">
        <f t="shared" si="9"/>
        <v>22770</v>
      </c>
      <c r="Y4">
        <f t="shared" si="10"/>
        <v>23440</v>
      </c>
      <c r="Z4">
        <f t="shared" si="11"/>
        <v>23870</v>
      </c>
      <c r="AA4" s="14"/>
    </row>
    <row r="5" spans="1:27" x14ac:dyDescent="0.25">
      <c r="A5" s="1" t="s">
        <v>3</v>
      </c>
      <c r="B5" s="19">
        <v>7.4</v>
      </c>
      <c r="C5" s="18">
        <v>7.4</v>
      </c>
      <c r="D5" s="20">
        <v>7.4</v>
      </c>
      <c r="E5" s="19">
        <v>7.4</v>
      </c>
      <c r="F5" s="19">
        <v>7.4</v>
      </c>
      <c r="G5" s="18">
        <v>7.4</v>
      </c>
      <c r="H5" s="17">
        <v>7.4</v>
      </c>
      <c r="I5" s="19">
        <v>7.4</v>
      </c>
      <c r="J5" s="19">
        <v>7.4</v>
      </c>
      <c r="K5" s="18">
        <v>7.4</v>
      </c>
      <c r="L5" s="17">
        <v>7.4</v>
      </c>
      <c r="M5" s="17">
        <v>7.4</v>
      </c>
      <c r="O5">
        <f t="shared" si="0"/>
        <v>740</v>
      </c>
      <c r="P5">
        <f t="shared" si="12"/>
        <v>740</v>
      </c>
      <c r="Q5">
        <f t="shared" si="13"/>
        <v>740</v>
      </c>
      <c r="R5">
        <f t="shared" si="14"/>
        <v>740</v>
      </c>
      <c r="S5">
        <f t="shared" si="15"/>
        <v>740</v>
      </c>
      <c r="T5">
        <f t="shared" si="16"/>
        <v>740</v>
      </c>
      <c r="U5">
        <f t="shared" si="6"/>
        <v>740</v>
      </c>
      <c r="V5">
        <f t="shared" si="7"/>
        <v>740</v>
      </c>
      <c r="W5">
        <f t="shared" si="8"/>
        <v>740</v>
      </c>
      <c r="X5">
        <f t="shared" si="9"/>
        <v>740</v>
      </c>
      <c r="Y5">
        <f t="shared" si="10"/>
        <v>740</v>
      </c>
      <c r="Z5">
        <f t="shared" si="11"/>
        <v>740</v>
      </c>
      <c r="AA5" s="14"/>
    </row>
    <row r="6" spans="1:27" x14ac:dyDescent="0.25">
      <c r="A6" s="1" t="s">
        <v>4</v>
      </c>
      <c r="B6" s="19">
        <v>698.6</v>
      </c>
      <c r="C6" s="18">
        <v>653.9</v>
      </c>
      <c r="D6" s="20">
        <v>663</v>
      </c>
      <c r="E6" s="19">
        <v>714.9</v>
      </c>
      <c r="F6" s="19">
        <v>731.3</v>
      </c>
      <c r="G6" s="18">
        <v>712.2</v>
      </c>
      <c r="H6" s="17">
        <v>742</v>
      </c>
      <c r="I6" s="19">
        <v>710.4</v>
      </c>
      <c r="J6" s="19">
        <v>714</v>
      </c>
      <c r="K6" s="18">
        <v>753.2</v>
      </c>
      <c r="L6" s="17">
        <v>2921.6</v>
      </c>
      <c r="M6" s="17">
        <v>1573.5</v>
      </c>
      <c r="O6">
        <f t="shared" si="0"/>
        <v>69860</v>
      </c>
      <c r="P6">
        <f t="shared" si="12"/>
        <v>65390</v>
      </c>
      <c r="Q6">
        <f t="shared" si="13"/>
        <v>66300</v>
      </c>
      <c r="R6">
        <f t="shared" si="14"/>
        <v>71490</v>
      </c>
      <c r="S6">
        <f t="shared" si="15"/>
        <v>73130</v>
      </c>
      <c r="T6">
        <f t="shared" si="16"/>
        <v>71220</v>
      </c>
      <c r="U6">
        <f t="shared" si="6"/>
        <v>74200</v>
      </c>
      <c r="V6">
        <f t="shared" si="7"/>
        <v>71040</v>
      </c>
      <c r="W6">
        <f t="shared" si="8"/>
        <v>71400</v>
      </c>
      <c r="X6">
        <f t="shared" si="9"/>
        <v>75320</v>
      </c>
      <c r="Y6">
        <f t="shared" si="10"/>
        <v>292160</v>
      </c>
      <c r="Z6">
        <f t="shared" si="11"/>
        <v>157350</v>
      </c>
      <c r="AA6" s="14"/>
    </row>
    <row r="7" spans="1:27" x14ac:dyDescent="0.25">
      <c r="A7" s="1"/>
      <c r="B7" s="19"/>
      <c r="C7" s="18"/>
      <c r="D7" s="20"/>
      <c r="E7" s="19"/>
      <c r="F7" s="19"/>
      <c r="G7" s="18"/>
      <c r="H7" s="17"/>
      <c r="I7" s="19"/>
      <c r="J7" s="19"/>
      <c r="K7" s="18"/>
      <c r="L7" s="17"/>
      <c r="M7" s="17"/>
      <c r="N7" t="s">
        <v>144</v>
      </c>
      <c r="O7">
        <f>O3+O4+O5+O6</f>
        <v>1656990</v>
      </c>
      <c r="P7">
        <f t="shared" ref="P7:Z7" si="17">P3+P4+P5+P6</f>
        <v>1689500</v>
      </c>
      <c r="Q7">
        <f t="shared" si="17"/>
        <v>1726140</v>
      </c>
      <c r="R7">
        <f t="shared" si="17"/>
        <v>1791600</v>
      </c>
      <c r="S7">
        <f t="shared" si="17"/>
        <v>1806580</v>
      </c>
      <c r="T7">
        <f t="shared" si="17"/>
        <v>1804320</v>
      </c>
      <c r="U7">
        <f t="shared" si="17"/>
        <v>1810560</v>
      </c>
      <c r="V7">
        <f t="shared" si="17"/>
        <v>1815960</v>
      </c>
      <c r="W7">
        <f t="shared" si="17"/>
        <v>1799279.9999999998</v>
      </c>
      <c r="X7">
        <f t="shared" si="17"/>
        <v>1852850</v>
      </c>
      <c r="Y7">
        <f t="shared" si="17"/>
        <v>1480580</v>
      </c>
      <c r="Z7">
        <f t="shared" si="17"/>
        <v>1100550</v>
      </c>
      <c r="AA7" s="14"/>
    </row>
    <row r="8" spans="1:27" x14ac:dyDescent="0.25">
      <c r="A8" s="1" t="s">
        <v>5</v>
      </c>
      <c r="B8" s="19">
        <v>9242.7000000000007</v>
      </c>
      <c r="C8" s="18">
        <v>9668.2000000000007</v>
      </c>
      <c r="D8" s="20">
        <v>10041.6</v>
      </c>
      <c r="E8" s="19">
        <v>10226.700000000001</v>
      </c>
      <c r="F8" s="19">
        <v>9943.4</v>
      </c>
      <c r="G8" s="18">
        <v>10034</v>
      </c>
      <c r="H8" s="17">
        <v>9866.2000000000007</v>
      </c>
      <c r="I8" s="19">
        <v>10094.1</v>
      </c>
      <c r="J8" s="19">
        <v>11720.7</v>
      </c>
      <c r="K8" s="18">
        <v>10565</v>
      </c>
      <c r="L8" s="17">
        <v>12068.6</v>
      </c>
      <c r="M8" s="17">
        <v>12087.1</v>
      </c>
      <c r="O8">
        <f t="shared" si="0"/>
        <v>924270.00000000012</v>
      </c>
      <c r="P8">
        <f t="shared" si="12"/>
        <v>966820.00000000012</v>
      </c>
      <c r="Q8">
        <f t="shared" si="13"/>
        <v>1004160</v>
      </c>
      <c r="R8">
        <f t="shared" si="14"/>
        <v>1022670.0000000001</v>
      </c>
      <c r="S8">
        <f t="shared" si="15"/>
        <v>994340</v>
      </c>
      <c r="T8">
        <f t="shared" si="16"/>
        <v>1003400</v>
      </c>
      <c r="U8">
        <f t="shared" si="6"/>
        <v>986620.00000000012</v>
      </c>
      <c r="V8">
        <f t="shared" si="7"/>
        <v>1009410</v>
      </c>
      <c r="W8">
        <f t="shared" si="8"/>
        <v>1172070</v>
      </c>
      <c r="X8">
        <f t="shared" si="9"/>
        <v>1056500</v>
      </c>
      <c r="Y8">
        <f t="shared" si="10"/>
        <v>1206860</v>
      </c>
      <c r="Z8">
        <f t="shared" si="11"/>
        <v>1208710</v>
      </c>
      <c r="AA8" s="14"/>
    </row>
    <row r="9" spans="1:27" x14ac:dyDescent="0.25">
      <c r="A9" s="1" t="s">
        <v>6</v>
      </c>
      <c r="B9" s="19">
        <v>9116.1</v>
      </c>
      <c r="C9" s="18">
        <v>9396.9</v>
      </c>
      <c r="D9" s="20">
        <v>9906.4</v>
      </c>
      <c r="E9" s="19">
        <v>10093.6</v>
      </c>
      <c r="F9" s="19">
        <v>9810.4</v>
      </c>
      <c r="G9" s="18">
        <v>9901.5</v>
      </c>
      <c r="H9" s="17">
        <v>9730.2000000000007</v>
      </c>
      <c r="I9" s="19">
        <v>9954.1</v>
      </c>
      <c r="J9" s="19">
        <v>11534.7</v>
      </c>
      <c r="K9" s="18">
        <v>10405.4</v>
      </c>
      <c r="L9" s="17">
        <v>11917.8</v>
      </c>
      <c r="M9" s="17">
        <v>11934.5</v>
      </c>
      <c r="O9">
        <f t="shared" si="0"/>
        <v>911610</v>
      </c>
      <c r="P9">
        <f t="shared" si="12"/>
        <v>939690</v>
      </c>
      <c r="Q9">
        <f t="shared" si="13"/>
        <v>990640</v>
      </c>
      <c r="R9">
        <f t="shared" si="14"/>
        <v>1009360</v>
      </c>
      <c r="S9">
        <f t="shared" si="15"/>
        <v>981040</v>
      </c>
      <c r="T9">
        <f t="shared" si="16"/>
        <v>990150</v>
      </c>
      <c r="U9">
        <f t="shared" si="6"/>
        <v>973020.00000000012</v>
      </c>
      <c r="V9">
        <f t="shared" si="7"/>
        <v>995410</v>
      </c>
      <c r="W9">
        <f t="shared" si="8"/>
        <v>1153470</v>
      </c>
      <c r="X9">
        <f t="shared" si="9"/>
        <v>1040540</v>
      </c>
      <c r="Y9">
        <f t="shared" si="10"/>
        <v>1191780</v>
      </c>
      <c r="Z9">
        <f t="shared" si="11"/>
        <v>1193450</v>
      </c>
      <c r="AA9" s="14"/>
    </row>
    <row r="10" spans="1:27" x14ac:dyDescent="0.25">
      <c r="A10" s="1" t="s">
        <v>7</v>
      </c>
      <c r="B10" s="19">
        <v>126.6</v>
      </c>
      <c r="C10" s="18">
        <v>271.3</v>
      </c>
      <c r="D10" s="20">
        <v>135.19999999999999</v>
      </c>
      <c r="E10" s="19">
        <v>133.1</v>
      </c>
      <c r="F10" s="19">
        <v>133</v>
      </c>
      <c r="G10" s="18">
        <v>132.5</v>
      </c>
      <c r="H10" s="17">
        <v>135.9</v>
      </c>
      <c r="I10" s="19">
        <v>140</v>
      </c>
      <c r="J10" s="19">
        <v>186</v>
      </c>
      <c r="K10" s="18">
        <v>159.6</v>
      </c>
      <c r="L10" s="17">
        <v>150.80000000000001</v>
      </c>
      <c r="M10" s="17">
        <v>152.6</v>
      </c>
      <c r="O10">
        <f t="shared" si="0"/>
        <v>12660</v>
      </c>
      <c r="P10">
        <f t="shared" si="12"/>
        <v>27130</v>
      </c>
      <c r="Q10">
        <f t="shared" si="13"/>
        <v>13519.999999999998</v>
      </c>
      <c r="R10">
        <f t="shared" si="14"/>
        <v>13310</v>
      </c>
      <c r="S10">
        <f t="shared" si="15"/>
        <v>13300</v>
      </c>
      <c r="T10">
        <f t="shared" si="16"/>
        <v>13250</v>
      </c>
      <c r="U10">
        <f t="shared" si="6"/>
        <v>13590</v>
      </c>
      <c r="V10">
        <f t="shared" si="7"/>
        <v>14000</v>
      </c>
      <c r="W10">
        <f t="shared" si="8"/>
        <v>18600</v>
      </c>
      <c r="X10">
        <f t="shared" si="9"/>
        <v>15960</v>
      </c>
      <c r="Y10">
        <f t="shared" si="10"/>
        <v>15080.000000000002</v>
      </c>
      <c r="Z10">
        <f t="shared" si="11"/>
        <v>15260</v>
      </c>
      <c r="AA10" s="14"/>
    </row>
    <row r="11" spans="1:27" x14ac:dyDescent="0.25">
      <c r="A11" s="1" t="s">
        <v>8</v>
      </c>
      <c r="B11" s="19">
        <v>24415.5</v>
      </c>
      <c r="C11" s="18">
        <v>25255.5</v>
      </c>
      <c r="D11" s="20">
        <v>25976.9</v>
      </c>
      <c r="E11" s="19">
        <v>26713</v>
      </c>
      <c r="F11" s="19">
        <v>26546.6</v>
      </c>
      <c r="G11" s="18">
        <v>26653</v>
      </c>
      <c r="H11" s="17">
        <v>26487.8</v>
      </c>
      <c r="I11" s="19">
        <v>26832.9</v>
      </c>
      <c r="J11" s="19">
        <v>28285.5</v>
      </c>
      <c r="K11" s="18">
        <v>27587.1</v>
      </c>
      <c r="L11" s="17">
        <v>21031.200000000001</v>
      </c>
      <c r="M11" s="17">
        <v>19945.7</v>
      </c>
      <c r="O11">
        <f t="shared" si="0"/>
        <v>2441550</v>
      </c>
      <c r="P11">
        <f t="shared" si="12"/>
        <v>2525550</v>
      </c>
      <c r="Q11">
        <f t="shared" si="13"/>
        <v>2597690</v>
      </c>
      <c r="R11">
        <f t="shared" si="14"/>
        <v>2671300</v>
      </c>
      <c r="S11">
        <f t="shared" si="15"/>
        <v>2654660</v>
      </c>
      <c r="T11">
        <f t="shared" si="16"/>
        <v>2665300</v>
      </c>
      <c r="U11">
        <f t="shared" si="6"/>
        <v>2648780</v>
      </c>
      <c r="V11">
        <f t="shared" si="7"/>
        <v>2683290</v>
      </c>
      <c r="W11">
        <f t="shared" si="8"/>
        <v>2828550</v>
      </c>
      <c r="X11">
        <f t="shared" si="9"/>
        <v>2758710</v>
      </c>
      <c r="Y11">
        <f t="shared" si="10"/>
        <v>2103120</v>
      </c>
      <c r="Z11">
        <f t="shared" si="11"/>
        <v>1994570</v>
      </c>
      <c r="AA11" s="14"/>
    </row>
    <row r="12" spans="1:27" x14ac:dyDescent="0.25">
      <c r="A12" s="1" t="s">
        <v>9</v>
      </c>
      <c r="B12" s="19">
        <v>586.79999999999995</v>
      </c>
      <c r="C12" s="18">
        <v>606.6</v>
      </c>
      <c r="D12" s="20">
        <v>615.70000000000005</v>
      </c>
      <c r="E12" s="19">
        <v>647</v>
      </c>
      <c r="F12" s="19">
        <v>667.9</v>
      </c>
      <c r="G12" s="18">
        <v>678.4</v>
      </c>
      <c r="H12" s="17">
        <v>692.4</v>
      </c>
      <c r="I12" s="19">
        <v>707.6</v>
      </c>
      <c r="J12" s="19">
        <v>714.2</v>
      </c>
      <c r="K12" s="18">
        <v>720.6</v>
      </c>
      <c r="L12" s="17">
        <v>925.6</v>
      </c>
      <c r="M12" s="17">
        <v>937.5</v>
      </c>
      <c r="O12">
        <f t="shared" si="0"/>
        <v>58679.999999999993</v>
      </c>
      <c r="P12">
        <f t="shared" si="12"/>
        <v>60660</v>
      </c>
      <c r="Q12">
        <f t="shared" si="13"/>
        <v>61570.000000000007</v>
      </c>
      <c r="R12">
        <f t="shared" si="14"/>
        <v>64700</v>
      </c>
      <c r="S12">
        <f t="shared" si="15"/>
        <v>66790</v>
      </c>
      <c r="T12">
        <f t="shared" si="16"/>
        <v>67840</v>
      </c>
      <c r="U12">
        <f t="shared" si="6"/>
        <v>69240</v>
      </c>
      <c r="V12">
        <f t="shared" si="7"/>
        <v>70760</v>
      </c>
      <c r="W12">
        <f t="shared" si="8"/>
        <v>71420</v>
      </c>
      <c r="X12">
        <f t="shared" si="9"/>
        <v>72060</v>
      </c>
      <c r="Y12">
        <f t="shared" si="10"/>
        <v>92560</v>
      </c>
      <c r="Z12">
        <f t="shared" si="11"/>
        <v>93750</v>
      </c>
      <c r="AA12" s="14"/>
    </row>
    <row r="13" spans="1:27" x14ac:dyDescent="0.25">
      <c r="A13" s="1" t="s">
        <v>10</v>
      </c>
      <c r="B13" s="19">
        <v>25002.2</v>
      </c>
      <c r="C13" s="18">
        <v>25862.1</v>
      </c>
      <c r="D13" s="20">
        <v>26592.6</v>
      </c>
      <c r="E13" s="19">
        <v>27360</v>
      </c>
      <c r="F13" s="19">
        <v>27214.6</v>
      </c>
      <c r="G13" s="18">
        <v>27331.3</v>
      </c>
      <c r="H13" s="17">
        <v>27180.2</v>
      </c>
      <c r="I13" s="19">
        <v>27540.5</v>
      </c>
      <c r="J13" s="19">
        <v>28999.7</v>
      </c>
      <c r="K13" s="18">
        <v>28307.599999999999</v>
      </c>
      <c r="L13" s="17">
        <v>21956.799999999999</v>
      </c>
      <c r="M13" s="17">
        <v>20883.2</v>
      </c>
      <c r="O13">
        <f t="shared" si="0"/>
        <v>2500220</v>
      </c>
      <c r="P13">
        <f t="shared" si="12"/>
        <v>2586210</v>
      </c>
      <c r="Q13">
        <f t="shared" si="13"/>
        <v>2659260</v>
      </c>
      <c r="R13">
        <f t="shared" si="14"/>
        <v>2736000</v>
      </c>
      <c r="S13">
        <f t="shared" si="15"/>
        <v>2721460</v>
      </c>
      <c r="T13">
        <f t="shared" si="16"/>
        <v>2733130</v>
      </c>
      <c r="U13">
        <f t="shared" si="6"/>
        <v>2718020</v>
      </c>
      <c r="V13">
        <f t="shared" si="7"/>
        <v>2754050</v>
      </c>
      <c r="W13">
        <f t="shared" si="8"/>
        <v>2899970</v>
      </c>
      <c r="X13">
        <f t="shared" si="9"/>
        <v>2830760</v>
      </c>
      <c r="Y13">
        <f t="shared" si="10"/>
        <v>2195680</v>
      </c>
      <c r="Z13">
        <f t="shared" si="11"/>
        <v>2088320</v>
      </c>
      <c r="AA13" s="14"/>
    </row>
    <row r="14" spans="1:27" x14ac:dyDescent="0.25">
      <c r="A14" s="1" t="s">
        <v>11</v>
      </c>
      <c r="B14" s="19">
        <v>89787.7</v>
      </c>
      <c r="C14" s="18">
        <v>90353.5</v>
      </c>
      <c r="D14" s="20">
        <v>90226.9</v>
      </c>
      <c r="E14" s="19">
        <v>92147.5</v>
      </c>
      <c r="F14" s="19">
        <v>92354.4</v>
      </c>
      <c r="G14" s="18">
        <v>92587.4</v>
      </c>
      <c r="H14" s="17">
        <v>93577</v>
      </c>
      <c r="I14" s="19">
        <v>93923.8</v>
      </c>
      <c r="J14" s="19">
        <v>96614.399999999994</v>
      </c>
      <c r="K14" s="18">
        <v>96062</v>
      </c>
      <c r="L14" s="17">
        <v>100282.7</v>
      </c>
      <c r="M14" s="17">
        <v>100112.1</v>
      </c>
      <c r="O14">
        <f t="shared" si="0"/>
        <v>8978770</v>
      </c>
      <c r="P14">
        <f t="shared" si="12"/>
        <v>9035350</v>
      </c>
      <c r="Q14">
        <f t="shared" si="13"/>
        <v>9022690</v>
      </c>
      <c r="R14">
        <f t="shared" si="14"/>
        <v>9214750</v>
      </c>
      <c r="S14">
        <f t="shared" si="15"/>
        <v>9235440</v>
      </c>
      <c r="T14">
        <f t="shared" si="16"/>
        <v>9258740</v>
      </c>
      <c r="U14">
        <f t="shared" si="6"/>
        <v>9357700</v>
      </c>
      <c r="V14">
        <f t="shared" si="7"/>
        <v>9392380</v>
      </c>
      <c r="W14">
        <f t="shared" si="8"/>
        <v>9661440</v>
      </c>
      <c r="X14">
        <f t="shared" si="9"/>
        <v>9606200</v>
      </c>
      <c r="Y14">
        <f t="shared" si="10"/>
        <v>10028270</v>
      </c>
      <c r="Z14">
        <f t="shared" si="11"/>
        <v>10011210</v>
      </c>
      <c r="AA14" s="14"/>
    </row>
    <row r="15" spans="1:27" x14ac:dyDescent="0.25">
      <c r="A15" s="1" t="s">
        <v>12</v>
      </c>
      <c r="B15" s="19">
        <v>114203.2</v>
      </c>
      <c r="C15" s="18">
        <v>115608.9</v>
      </c>
      <c r="D15" s="20">
        <v>116203.8</v>
      </c>
      <c r="E15" s="19">
        <v>118860.5</v>
      </c>
      <c r="F15" s="19">
        <v>118901</v>
      </c>
      <c r="G15" s="18">
        <v>119240.4</v>
      </c>
      <c r="H15" s="17">
        <v>120064.8</v>
      </c>
      <c r="I15" s="19">
        <v>120756.6</v>
      </c>
      <c r="J15" s="19">
        <v>124899.9</v>
      </c>
      <c r="K15" s="18">
        <v>123649.1</v>
      </c>
      <c r="L15" s="17">
        <v>121313.9</v>
      </c>
      <c r="M15" s="17">
        <v>120057.8</v>
      </c>
      <c r="O15">
        <f t="shared" si="0"/>
        <v>11420320</v>
      </c>
      <c r="P15">
        <f t="shared" si="12"/>
        <v>11560890</v>
      </c>
      <c r="Q15">
        <f t="shared" si="13"/>
        <v>11620380</v>
      </c>
      <c r="R15">
        <f t="shared" si="14"/>
        <v>11886050</v>
      </c>
      <c r="S15">
        <f t="shared" si="15"/>
        <v>11890100</v>
      </c>
      <c r="T15">
        <f t="shared" si="16"/>
        <v>11924040</v>
      </c>
      <c r="U15">
        <f t="shared" si="6"/>
        <v>12006480</v>
      </c>
      <c r="V15">
        <f t="shared" si="7"/>
        <v>12075660</v>
      </c>
      <c r="W15">
        <f t="shared" si="8"/>
        <v>12489990</v>
      </c>
      <c r="X15">
        <f t="shared" si="9"/>
        <v>12364910</v>
      </c>
      <c r="Y15">
        <f t="shared" si="10"/>
        <v>12131390</v>
      </c>
      <c r="Z15">
        <f t="shared" si="11"/>
        <v>12005780</v>
      </c>
      <c r="AA15" s="14"/>
    </row>
    <row r="16" spans="1:27" x14ac:dyDescent="0.25">
      <c r="A16" s="1" t="s">
        <v>13</v>
      </c>
      <c r="B16" s="19">
        <v>2006.9</v>
      </c>
      <c r="C16" s="18">
        <v>2039</v>
      </c>
      <c r="D16" s="20">
        <v>2084.1</v>
      </c>
      <c r="E16" s="19">
        <v>2121.4</v>
      </c>
      <c r="F16" s="19">
        <v>2152.1999999999998</v>
      </c>
      <c r="G16" s="18">
        <v>2181.6</v>
      </c>
      <c r="H16" s="17">
        <v>2209.1</v>
      </c>
      <c r="I16" s="19">
        <v>2237.4</v>
      </c>
      <c r="J16" s="19">
        <v>2256.6999999999998</v>
      </c>
      <c r="K16" s="18">
        <v>2277.9</v>
      </c>
      <c r="L16" s="17">
        <v>2521.9</v>
      </c>
      <c r="M16" s="17">
        <v>2549.6</v>
      </c>
      <c r="O16">
        <f t="shared" si="0"/>
        <v>200690</v>
      </c>
      <c r="P16">
        <f t="shared" si="12"/>
        <v>203900</v>
      </c>
      <c r="Q16">
        <f t="shared" si="13"/>
        <v>208410</v>
      </c>
      <c r="R16">
        <f t="shared" si="14"/>
        <v>212140</v>
      </c>
      <c r="S16">
        <f t="shared" si="15"/>
        <v>215219.99999999997</v>
      </c>
      <c r="T16">
        <f t="shared" si="16"/>
        <v>218160</v>
      </c>
      <c r="U16">
        <f t="shared" si="6"/>
        <v>220910</v>
      </c>
      <c r="V16">
        <f t="shared" si="7"/>
        <v>223740</v>
      </c>
      <c r="W16">
        <f t="shared" si="8"/>
        <v>225669.99999999997</v>
      </c>
      <c r="X16">
        <f t="shared" si="9"/>
        <v>227790</v>
      </c>
      <c r="Y16">
        <f t="shared" si="10"/>
        <v>252190</v>
      </c>
      <c r="Z16">
        <f t="shared" si="11"/>
        <v>254960</v>
      </c>
      <c r="AA16" s="14"/>
    </row>
    <row r="17" spans="1:27" x14ac:dyDescent="0.25">
      <c r="A17" s="1" t="s">
        <v>14</v>
      </c>
      <c r="B17" s="19">
        <v>116210</v>
      </c>
      <c r="C17" s="18">
        <v>117648</v>
      </c>
      <c r="D17" s="20">
        <v>118288</v>
      </c>
      <c r="E17" s="19">
        <v>120981.9</v>
      </c>
      <c r="F17" s="19">
        <v>121053.2</v>
      </c>
      <c r="G17" s="18">
        <v>121422</v>
      </c>
      <c r="H17" s="17">
        <v>122273.9</v>
      </c>
      <c r="I17" s="19">
        <v>122994.1</v>
      </c>
      <c r="J17" s="19">
        <v>127156.6</v>
      </c>
      <c r="K17" s="18">
        <v>125926.9</v>
      </c>
      <c r="L17" s="17">
        <v>123835.8</v>
      </c>
      <c r="M17" s="17">
        <v>122607.4</v>
      </c>
      <c r="O17">
        <f t="shared" si="0"/>
        <v>11621000</v>
      </c>
      <c r="P17">
        <f t="shared" si="12"/>
        <v>11764800</v>
      </c>
      <c r="Q17">
        <f t="shared" si="13"/>
        <v>11828800</v>
      </c>
      <c r="R17">
        <f t="shared" si="14"/>
        <v>12098190</v>
      </c>
      <c r="S17">
        <f t="shared" si="15"/>
        <v>12105320</v>
      </c>
      <c r="T17">
        <f t="shared" si="16"/>
        <v>12142200</v>
      </c>
      <c r="U17">
        <f t="shared" si="6"/>
        <v>12227390</v>
      </c>
      <c r="V17">
        <f t="shared" si="7"/>
        <v>12299410</v>
      </c>
      <c r="W17">
        <f t="shared" si="8"/>
        <v>12715660</v>
      </c>
      <c r="X17">
        <f t="shared" si="9"/>
        <v>12592690</v>
      </c>
      <c r="Y17">
        <f t="shared" si="10"/>
        <v>12383580</v>
      </c>
      <c r="Z17">
        <f t="shared" si="11"/>
        <v>12260740</v>
      </c>
      <c r="AA17" s="14"/>
    </row>
    <row r="18" spans="1:27" x14ac:dyDescent="0.25">
      <c r="A18" s="1"/>
    </row>
    <row r="19" spans="1:27" x14ac:dyDescent="0.25">
      <c r="A19" s="1"/>
    </row>
    <row r="23" spans="1:27" x14ac:dyDescent="0.25">
      <c r="A23" t="s">
        <v>138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4DF2-7F94-488B-8C9A-0BE36D45B189}">
  <dimension ref="A2:V112"/>
  <sheetViews>
    <sheetView topLeftCell="A109" workbookViewId="0">
      <selection activeCell="E39" sqref="E39:G111"/>
    </sheetView>
  </sheetViews>
  <sheetFormatPr defaultRowHeight="15" x14ac:dyDescent="0.25"/>
  <cols>
    <col min="1" max="1" width="8.5703125" customWidth="1"/>
    <col min="2" max="2" width="15.140625" customWidth="1"/>
    <col min="3" max="3" width="11.140625" style="22" bestFit="1" customWidth="1"/>
    <col min="4" max="4" width="11.140625" style="22" customWidth="1"/>
    <col min="6" max="6" width="9.7109375" bestFit="1" customWidth="1"/>
    <col min="7" max="7" width="12.7109375" style="22" bestFit="1" customWidth="1"/>
    <col min="9" max="9" width="12.7109375" bestFit="1" customWidth="1"/>
  </cols>
  <sheetData>
    <row r="2" spans="1:2" ht="38.25" x14ac:dyDescent="0.25">
      <c r="A2" t="s">
        <v>136</v>
      </c>
      <c r="B2" s="1" t="s">
        <v>0</v>
      </c>
    </row>
    <row r="3" spans="1:2" x14ac:dyDescent="0.25">
      <c r="A3" s="14" t="s">
        <v>28</v>
      </c>
      <c r="B3">
        <v>1517270</v>
      </c>
    </row>
    <row r="4" spans="1:2" x14ac:dyDescent="0.25">
      <c r="A4" s="14" t="s">
        <v>29</v>
      </c>
      <c r="B4">
        <v>1558730</v>
      </c>
    </row>
    <row r="5" spans="1:2" x14ac:dyDescent="0.25">
      <c r="A5" s="14" t="s">
        <v>30</v>
      </c>
      <c r="B5">
        <v>1593540</v>
      </c>
    </row>
    <row r="6" spans="1:2" x14ac:dyDescent="0.25">
      <c r="A6" s="14" t="s">
        <v>31</v>
      </c>
      <c r="B6">
        <v>1648620</v>
      </c>
    </row>
    <row r="7" spans="1:2" x14ac:dyDescent="0.25">
      <c r="A7" s="14" t="s">
        <v>32</v>
      </c>
      <c r="B7">
        <v>1660330</v>
      </c>
    </row>
    <row r="8" spans="1:2" x14ac:dyDescent="0.25">
      <c r="A8" s="14" t="s">
        <v>33</v>
      </c>
      <c r="B8">
        <v>1661890</v>
      </c>
    </row>
    <row r="9" spans="1:2" x14ac:dyDescent="0.25">
      <c r="A9" s="14" t="s">
        <v>34</v>
      </c>
      <c r="B9">
        <v>1662160</v>
      </c>
    </row>
    <row r="10" spans="1:2" x14ac:dyDescent="0.25">
      <c r="A10" s="14" t="s">
        <v>35</v>
      </c>
      <c r="B10">
        <v>1673880</v>
      </c>
    </row>
    <row r="11" spans="1:2" x14ac:dyDescent="0.25">
      <c r="A11" s="14" t="s">
        <v>36</v>
      </c>
      <c r="B11">
        <v>1656480</v>
      </c>
    </row>
    <row r="12" spans="1:2" x14ac:dyDescent="0.25">
      <c r="A12" s="14" t="s">
        <v>37</v>
      </c>
      <c r="B12">
        <v>1702210</v>
      </c>
    </row>
    <row r="13" spans="1:2" x14ac:dyDescent="0.25">
      <c r="A13" s="14" t="s">
        <v>38</v>
      </c>
      <c r="B13">
        <v>896260</v>
      </c>
    </row>
    <row r="14" spans="1:2" x14ac:dyDescent="0.25">
      <c r="A14" s="14" t="s">
        <v>39</v>
      </c>
      <c r="B14">
        <v>785860</v>
      </c>
    </row>
    <row r="15" spans="1:2" x14ac:dyDescent="0.25">
      <c r="A15" s="14" t="s">
        <v>125</v>
      </c>
      <c r="B15">
        <v>913480</v>
      </c>
    </row>
    <row r="16" spans="1:2" x14ac:dyDescent="0.25">
      <c r="A16" s="14" t="s">
        <v>126</v>
      </c>
      <c r="B16">
        <v>1064490</v>
      </c>
    </row>
    <row r="17" spans="1:12" x14ac:dyDescent="0.25">
      <c r="A17" s="14" t="s">
        <v>127</v>
      </c>
      <c r="B17">
        <v>1264120</v>
      </c>
    </row>
    <row r="18" spans="1:12" x14ac:dyDescent="0.25">
      <c r="A18" s="14" t="s">
        <v>128</v>
      </c>
      <c r="B18">
        <v>1362190</v>
      </c>
    </row>
    <row r="19" spans="1:12" x14ac:dyDescent="0.25">
      <c r="A19" s="14" t="s">
        <v>116</v>
      </c>
      <c r="B19">
        <v>1413310</v>
      </c>
    </row>
    <row r="20" spans="1:12" x14ac:dyDescent="0.25">
      <c r="A20" s="14" t="s">
        <v>129</v>
      </c>
      <c r="B20">
        <v>1452650</v>
      </c>
    </row>
    <row r="21" spans="1:12" x14ac:dyDescent="0.25">
      <c r="A21" s="14" t="s">
        <v>130</v>
      </c>
      <c r="B21">
        <v>1469490</v>
      </c>
    </row>
    <row r="22" spans="1:12" x14ac:dyDescent="0.25">
      <c r="A22" s="14" t="s">
        <v>131</v>
      </c>
      <c r="B22">
        <v>1489650</v>
      </c>
    </row>
    <row r="23" spans="1:12" x14ac:dyDescent="0.25">
      <c r="A23" s="14" t="s">
        <v>132</v>
      </c>
      <c r="B23">
        <v>1497030</v>
      </c>
    </row>
    <row r="24" spans="1:12" x14ac:dyDescent="0.25">
      <c r="A24" s="14" t="s">
        <v>133</v>
      </c>
      <c r="B24">
        <v>1548560</v>
      </c>
    </row>
    <row r="25" spans="1:12" x14ac:dyDescent="0.25">
      <c r="A25" s="14" t="s">
        <v>134</v>
      </c>
      <c r="B25">
        <v>1581550</v>
      </c>
    </row>
    <row r="26" spans="1:12" x14ac:dyDescent="0.25">
      <c r="A26" s="14" t="s">
        <v>135</v>
      </c>
      <c r="B26">
        <v>1616420</v>
      </c>
    </row>
    <row r="27" spans="1:12" x14ac:dyDescent="0.25">
      <c r="A27" s="14" t="s">
        <v>112</v>
      </c>
      <c r="B27">
        <v>1660740</v>
      </c>
      <c r="E27" s="14" t="s">
        <v>112</v>
      </c>
      <c r="F27" s="17">
        <v>133632.29999999999</v>
      </c>
    </row>
    <row r="28" spans="1:12" x14ac:dyDescent="0.25">
      <c r="A28" s="14" t="s">
        <v>113</v>
      </c>
      <c r="B28">
        <v>1707190</v>
      </c>
      <c r="E28" s="14" t="s">
        <v>113</v>
      </c>
      <c r="F28" s="18">
        <v>134789.9</v>
      </c>
    </row>
    <row r="29" spans="1:12" x14ac:dyDescent="0.25">
      <c r="A29" s="14" t="s">
        <v>114</v>
      </c>
      <c r="B29">
        <v>1760440</v>
      </c>
      <c r="E29" s="14" t="s">
        <v>114</v>
      </c>
      <c r="F29" s="17">
        <v>139660.1</v>
      </c>
    </row>
    <row r="30" spans="1:12" x14ac:dyDescent="0.25">
      <c r="A30" s="14" t="s">
        <v>115</v>
      </c>
      <c r="B30">
        <v>1824880</v>
      </c>
      <c r="E30" s="14" t="s">
        <v>115</v>
      </c>
      <c r="F30" s="17">
        <v>139816.5</v>
      </c>
    </row>
    <row r="31" spans="1:12" x14ac:dyDescent="0.25">
      <c r="A31" s="14" t="s">
        <v>117</v>
      </c>
      <c r="B31">
        <v>1853790</v>
      </c>
      <c r="E31" s="14" t="s">
        <v>117</v>
      </c>
      <c r="F31" s="17">
        <v>139844.79999999999</v>
      </c>
    </row>
    <row r="32" spans="1:12" x14ac:dyDescent="0.25">
      <c r="A32" s="14" t="s">
        <v>118</v>
      </c>
      <c r="B32">
        <v>1876760</v>
      </c>
      <c r="E32" s="14" t="s">
        <v>118</v>
      </c>
      <c r="F32" s="17">
        <v>140032.29999999999</v>
      </c>
      <c r="L32" s="21"/>
    </row>
    <row r="33" spans="1:16" x14ac:dyDescent="0.25">
      <c r="A33" s="14" t="s">
        <v>119</v>
      </c>
      <c r="B33">
        <v>1858933</v>
      </c>
      <c r="E33" s="14" t="s">
        <v>119</v>
      </c>
      <c r="F33" s="3">
        <v>14072865</v>
      </c>
    </row>
    <row r="34" spans="1:16" x14ac:dyDescent="0.25">
      <c r="A34" s="14" t="s">
        <v>120</v>
      </c>
      <c r="B34">
        <v>1846844</v>
      </c>
      <c r="E34" s="14" t="s">
        <v>120</v>
      </c>
      <c r="F34" s="3">
        <v>14271408</v>
      </c>
    </row>
    <row r="35" spans="1:16" x14ac:dyDescent="0.25">
      <c r="A35" s="14" t="s">
        <v>121</v>
      </c>
      <c r="B35">
        <v>1842936</v>
      </c>
      <c r="E35" s="14" t="s">
        <v>121</v>
      </c>
      <c r="F35" s="3">
        <v>14422908</v>
      </c>
    </row>
    <row r="36" spans="1:16" x14ac:dyDescent="0.25">
      <c r="A36" s="14" t="s">
        <v>122</v>
      </c>
      <c r="B36">
        <v>1875135</v>
      </c>
      <c r="E36" s="14" t="s">
        <v>122</v>
      </c>
      <c r="F36" s="3">
        <v>14426380</v>
      </c>
    </row>
    <row r="37" spans="1:16" x14ac:dyDescent="0.25">
      <c r="A37" s="14" t="s">
        <v>123</v>
      </c>
      <c r="B37">
        <v>1924450</v>
      </c>
      <c r="E37" s="14" t="s">
        <v>123</v>
      </c>
      <c r="F37" s="17">
        <v>145187.70000000001</v>
      </c>
    </row>
    <row r="38" spans="1:16" x14ac:dyDescent="0.25">
      <c r="A38" s="14" t="s">
        <v>124</v>
      </c>
      <c r="B38">
        <v>1950910</v>
      </c>
      <c r="E38" s="14" t="s">
        <v>124</v>
      </c>
      <c r="F38" s="17">
        <v>145496.1</v>
      </c>
    </row>
    <row r="39" spans="1:16" ht="50.25" thickBot="1" x14ac:dyDescent="0.3">
      <c r="A39" s="14" t="s">
        <v>139</v>
      </c>
      <c r="B39" t="s">
        <v>140</v>
      </c>
      <c r="C39" s="22" t="s">
        <v>141</v>
      </c>
      <c r="E39" s="14" t="s">
        <v>139</v>
      </c>
      <c r="F39" t="s">
        <v>142</v>
      </c>
      <c r="G39" s="24" t="s">
        <v>143</v>
      </c>
      <c r="H39" s="26" t="s">
        <v>147</v>
      </c>
      <c r="I39" s="26" t="s">
        <v>143</v>
      </c>
    </row>
    <row r="40" spans="1:16" ht="33.75" thickBot="1" x14ac:dyDescent="0.3">
      <c r="A40" s="14" t="s">
        <v>100</v>
      </c>
      <c r="B40">
        <v>1986735</v>
      </c>
      <c r="C40" s="23">
        <v>2012920</v>
      </c>
      <c r="D40" s="25"/>
      <c r="E40" s="14" t="s">
        <v>100</v>
      </c>
      <c r="F40" s="3">
        <v>14758783</v>
      </c>
      <c r="G40" s="23">
        <v>15176890</v>
      </c>
      <c r="H40" s="27" t="s">
        <v>100</v>
      </c>
      <c r="I40" s="28">
        <v>2165350</v>
      </c>
      <c r="J40" s="3"/>
      <c r="K40" s="3"/>
      <c r="L40" s="3"/>
      <c r="M40" s="3"/>
      <c r="N40" s="3"/>
      <c r="O40" s="3"/>
      <c r="P40" s="3"/>
    </row>
    <row r="41" spans="1:16" ht="33.75" thickBot="1" x14ac:dyDescent="0.3">
      <c r="A41" s="14" t="s">
        <v>101</v>
      </c>
      <c r="B41">
        <v>2255426</v>
      </c>
      <c r="C41" s="23">
        <v>2051550</v>
      </c>
      <c r="D41" s="25"/>
      <c r="E41" s="14" t="s">
        <v>101</v>
      </c>
      <c r="F41" s="3">
        <v>16458977</v>
      </c>
      <c r="G41" s="23">
        <v>15583240</v>
      </c>
      <c r="H41" s="27" t="s">
        <v>101</v>
      </c>
      <c r="I41" s="28">
        <v>2198670</v>
      </c>
      <c r="J41" s="3"/>
      <c r="K41" s="3"/>
      <c r="L41" s="3"/>
      <c r="M41" s="3"/>
      <c r="N41" s="3"/>
      <c r="O41" s="3"/>
      <c r="P41" s="3"/>
    </row>
    <row r="42" spans="1:16" ht="33.75" thickBot="1" x14ac:dyDescent="0.3">
      <c r="A42" s="14" t="s">
        <v>102</v>
      </c>
      <c r="B42">
        <v>2055044</v>
      </c>
      <c r="C42" s="23">
        <v>2086880</v>
      </c>
      <c r="D42" s="25"/>
      <c r="E42" s="14" t="s">
        <v>102</v>
      </c>
      <c r="F42" s="3">
        <v>15443594</v>
      </c>
      <c r="G42" s="23">
        <v>15935400</v>
      </c>
      <c r="H42" s="27" t="s">
        <v>102</v>
      </c>
      <c r="I42" s="28">
        <v>2231990</v>
      </c>
      <c r="J42" s="3"/>
      <c r="K42" s="3"/>
      <c r="L42" s="3"/>
      <c r="M42" s="3"/>
      <c r="N42" s="3"/>
      <c r="O42" s="3"/>
      <c r="P42" s="3"/>
    </row>
    <row r="43" spans="1:16" ht="33.75" thickBot="1" x14ac:dyDescent="0.3">
      <c r="A43" s="14" t="s">
        <v>103</v>
      </c>
      <c r="B43">
        <v>2092067</v>
      </c>
      <c r="C43" s="23">
        <v>2120570</v>
      </c>
      <c r="D43" s="25"/>
      <c r="E43" s="14" t="s">
        <v>103</v>
      </c>
      <c r="F43" s="3">
        <v>15378604</v>
      </c>
      <c r="G43" s="23">
        <v>16486200</v>
      </c>
      <c r="H43" s="27" t="s">
        <v>103</v>
      </c>
      <c r="I43" s="28">
        <v>2265310</v>
      </c>
      <c r="J43" s="3"/>
      <c r="K43" s="3"/>
      <c r="L43" s="3"/>
      <c r="M43" s="3"/>
      <c r="N43" s="3"/>
      <c r="O43" s="3"/>
      <c r="P43" s="3"/>
    </row>
    <row r="44" spans="1:16" ht="33.75" thickBot="1" x14ac:dyDescent="0.3">
      <c r="A44" s="14" t="s">
        <v>104</v>
      </c>
      <c r="B44">
        <v>2117366</v>
      </c>
      <c r="C44" s="23">
        <v>2148480</v>
      </c>
      <c r="D44" s="25"/>
      <c r="E44" s="14" t="s">
        <v>104</v>
      </c>
      <c r="F44" s="3">
        <v>15421077</v>
      </c>
      <c r="G44" s="23">
        <v>16603300</v>
      </c>
      <c r="H44" s="27" t="s">
        <v>104</v>
      </c>
      <c r="I44" s="28">
        <v>2298630</v>
      </c>
      <c r="J44" s="3"/>
      <c r="K44" s="3"/>
      <c r="L44" s="3"/>
      <c r="M44" s="3"/>
      <c r="N44" s="3"/>
      <c r="O44" s="3"/>
      <c r="P44" s="3"/>
    </row>
    <row r="45" spans="1:16" ht="33.75" thickBot="1" x14ac:dyDescent="0.3">
      <c r="A45" s="14" t="s">
        <v>105</v>
      </c>
      <c r="B45">
        <v>2116677</v>
      </c>
      <c r="C45" s="23">
        <v>2168700</v>
      </c>
      <c r="D45" s="25"/>
      <c r="E45" s="14" t="s">
        <v>105</v>
      </c>
      <c r="F45" s="3">
        <v>15416104</v>
      </c>
      <c r="G45" s="23">
        <v>16618900</v>
      </c>
      <c r="H45" s="27" t="s">
        <v>105</v>
      </c>
      <c r="I45" s="28">
        <v>2331950</v>
      </c>
      <c r="J45" s="3"/>
      <c r="K45" s="3"/>
      <c r="L45" s="3"/>
      <c r="M45" s="3"/>
      <c r="N45" s="3"/>
      <c r="O45" s="3"/>
      <c r="P45" s="3"/>
    </row>
    <row r="46" spans="1:16" ht="33.75" thickBot="1" x14ac:dyDescent="0.3">
      <c r="A46" s="14" t="s">
        <v>106</v>
      </c>
      <c r="B46">
        <v>2098705</v>
      </c>
      <c r="C46" s="23">
        <v>2178240</v>
      </c>
      <c r="D46" s="25"/>
      <c r="E46" s="14" t="s">
        <v>106</v>
      </c>
      <c r="F46" s="3">
        <v>15567781</v>
      </c>
      <c r="G46" s="23">
        <v>16621600</v>
      </c>
      <c r="H46" s="27" t="s">
        <v>106</v>
      </c>
      <c r="I46" s="28">
        <v>2365270</v>
      </c>
      <c r="J46" s="3"/>
      <c r="K46" s="3"/>
      <c r="L46" s="3"/>
      <c r="M46" s="3"/>
      <c r="N46" s="3"/>
      <c r="O46" s="3"/>
      <c r="P46" s="3"/>
    </row>
    <row r="47" spans="1:16" ht="33.75" thickBot="1" x14ac:dyDescent="0.3">
      <c r="A47" s="14" t="s">
        <v>107</v>
      </c>
      <c r="B47">
        <v>2082634</v>
      </c>
      <c r="C47" s="23">
        <v>2180170</v>
      </c>
      <c r="D47" s="25"/>
      <c r="E47" s="14" t="s">
        <v>107</v>
      </c>
      <c r="F47" s="3">
        <v>15677090</v>
      </c>
      <c r="G47" s="23">
        <v>16738800</v>
      </c>
      <c r="H47" s="27" t="s">
        <v>107</v>
      </c>
      <c r="I47" s="28">
        <v>2398590</v>
      </c>
      <c r="J47" s="3"/>
      <c r="K47" s="3"/>
      <c r="L47" s="3"/>
      <c r="M47" s="3"/>
      <c r="N47" s="3"/>
      <c r="O47" s="3"/>
      <c r="P47" s="3"/>
    </row>
    <row r="48" spans="1:16" ht="33.75" thickBot="1" x14ac:dyDescent="0.3">
      <c r="A48" s="14" t="s">
        <v>108</v>
      </c>
      <c r="B48">
        <v>2089198</v>
      </c>
      <c r="C48" s="23">
        <v>2178550</v>
      </c>
      <c r="D48" s="25"/>
      <c r="E48" s="14" t="s">
        <v>108</v>
      </c>
      <c r="F48" s="3">
        <v>15814167</v>
      </c>
      <c r="G48" s="23">
        <v>16564800</v>
      </c>
      <c r="H48" s="27" t="s">
        <v>108</v>
      </c>
      <c r="I48" s="28">
        <v>2431910</v>
      </c>
      <c r="J48" s="3"/>
      <c r="K48" s="3"/>
      <c r="L48" s="3"/>
      <c r="M48" s="3"/>
      <c r="N48" s="3"/>
      <c r="O48" s="3"/>
      <c r="P48" s="3"/>
    </row>
    <row r="49" spans="1:16" ht="33.75" thickBot="1" x14ac:dyDescent="0.3">
      <c r="A49" s="14" t="s">
        <v>109</v>
      </c>
      <c r="B49">
        <v>2161881</v>
      </c>
      <c r="C49" s="23">
        <v>2180430</v>
      </c>
      <c r="D49" s="25"/>
      <c r="E49" s="14" t="s">
        <v>109</v>
      </c>
      <c r="F49" s="3">
        <v>15955362</v>
      </c>
      <c r="G49" s="23">
        <v>17022100</v>
      </c>
      <c r="H49" s="27" t="s">
        <v>109</v>
      </c>
      <c r="I49" s="28">
        <v>2465230</v>
      </c>
      <c r="J49" s="3"/>
      <c r="K49" s="3"/>
      <c r="L49" s="3"/>
      <c r="M49" s="3"/>
      <c r="N49" s="3"/>
      <c r="O49" s="3"/>
      <c r="P49" s="3"/>
    </row>
    <row r="50" spans="1:16" ht="33.75" thickBot="1" x14ac:dyDescent="0.3">
      <c r="A50" s="14" t="s">
        <v>110</v>
      </c>
      <c r="B50">
        <v>2172488</v>
      </c>
      <c r="C50" s="23">
        <v>2191760</v>
      </c>
      <c r="D50" s="25"/>
      <c r="E50" s="14" t="s">
        <v>110</v>
      </c>
      <c r="F50" s="3">
        <v>15945749</v>
      </c>
      <c r="G50" s="23">
        <v>8962600</v>
      </c>
      <c r="H50" s="27" t="s">
        <v>110</v>
      </c>
      <c r="I50" s="28">
        <v>2498550</v>
      </c>
      <c r="J50" s="3"/>
      <c r="K50" s="3"/>
      <c r="L50" s="3"/>
      <c r="M50" s="3"/>
      <c r="N50" s="3"/>
      <c r="O50" s="3"/>
      <c r="P50" s="3"/>
    </row>
    <row r="51" spans="1:16" ht="33.75" thickBot="1" x14ac:dyDescent="0.3">
      <c r="A51" s="14" t="s">
        <v>111</v>
      </c>
      <c r="B51">
        <v>2180601</v>
      </c>
      <c r="C51" s="23">
        <v>2216490</v>
      </c>
      <c r="D51" s="25"/>
      <c r="E51" s="14" t="s">
        <v>111</v>
      </c>
      <c r="F51" s="3">
        <v>16062978</v>
      </c>
      <c r="G51" s="23">
        <v>7858600</v>
      </c>
      <c r="H51" s="27" t="s">
        <v>111</v>
      </c>
      <c r="I51" s="28">
        <v>2531870</v>
      </c>
      <c r="J51" s="3"/>
      <c r="K51" s="3"/>
      <c r="L51" s="3"/>
      <c r="M51" s="3"/>
      <c r="N51" s="3"/>
      <c r="O51" s="3"/>
      <c r="P51" s="3"/>
    </row>
    <row r="52" spans="1:16" ht="33.75" thickBot="1" x14ac:dyDescent="0.3">
      <c r="A52" s="14" t="s">
        <v>88</v>
      </c>
      <c r="B52">
        <v>2218775</v>
      </c>
      <c r="C52" s="23">
        <v>2255430</v>
      </c>
      <c r="D52" s="25"/>
      <c r="E52" s="14" t="s">
        <v>88</v>
      </c>
      <c r="F52" s="3">
        <v>16418624</v>
      </c>
      <c r="G52" s="23">
        <v>9134800</v>
      </c>
      <c r="H52" s="29" t="s">
        <v>88</v>
      </c>
      <c r="I52" s="30">
        <v>2565190</v>
      </c>
      <c r="J52" s="14"/>
    </row>
    <row r="53" spans="1:16" ht="33.75" thickBot="1" x14ac:dyDescent="0.3">
      <c r="A53" s="14" t="s">
        <v>89</v>
      </c>
      <c r="B53">
        <v>2255426</v>
      </c>
      <c r="C53" s="23">
        <v>2294370</v>
      </c>
      <c r="D53" s="25"/>
      <c r="E53" s="14" t="s">
        <v>89</v>
      </c>
      <c r="F53" s="3">
        <v>16458977</v>
      </c>
      <c r="G53" s="23">
        <v>10644900</v>
      </c>
      <c r="H53" s="29" t="s">
        <v>89</v>
      </c>
      <c r="I53" s="30">
        <v>2598510</v>
      </c>
      <c r="J53" s="14"/>
    </row>
    <row r="54" spans="1:16" ht="33.75" thickBot="1" x14ac:dyDescent="0.3">
      <c r="A54" s="14" t="s">
        <v>90</v>
      </c>
      <c r="B54">
        <v>2341744</v>
      </c>
      <c r="C54" s="23">
        <v>2330700</v>
      </c>
      <c r="D54" s="25"/>
      <c r="E54" s="14" t="s">
        <v>90</v>
      </c>
      <c r="F54" s="3">
        <v>16791629</v>
      </c>
      <c r="G54" s="23">
        <v>12641200</v>
      </c>
      <c r="H54" s="29" t="s">
        <v>90</v>
      </c>
      <c r="I54" s="30">
        <v>2631830</v>
      </c>
      <c r="J54" s="14"/>
    </row>
    <row r="55" spans="1:16" ht="33.75" thickBot="1" x14ac:dyDescent="0.3">
      <c r="A55" s="14" t="s">
        <v>91</v>
      </c>
      <c r="B55">
        <v>2424621</v>
      </c>
      <c r="C55" s="23">
        <v>2364420</v>
      </c>
      <c r="D55" s="25"/>
      <c r="E55" s="14" t="s">
        <v>91</v>
      </c>
      <c r="F55" s="3">
        <v>17034088</v>
      </c>
      <c r="G55" s="23">
        <v>13621900</v>
      </c>
      <c r="H55" s="29" t="s">
        <v>91</v>
      </c>
      <c r="I55" s="30">
        <v>2665150</v>
      </c>
      <c r="J55" s="14"/>
    </row>
    <row r="56" spans="1:16" ht="33.75" thickBot="1" x14ac:dyDescent="0.3">
      <c r="A56" s="14" t="s">
        <v>92</v>
      </c>
      <c r="B56">
        <v>2512742</v>
      </c>
      <c r="C56" s="23">
        <v>2392330</v>
      </c>
      <c r="D56" s="25"/>
      <c r="E56" s="14" t="s">
        <v>92</v>
      </c>
      <c r="F56" s="3">
        <v>17230864</v>
      </c>
      <c r="G56" s="23">
        <v>14133100</v>
      </c>
      <c r="H56" s="29" t="s">
        <v>92</v>
      </c>
      <c r="I56" s="30">
        <v>2698470</v>
      </c>
      <c r="J56" s="14"/>
    </row>
    <row r="57" spans="1:16" ht="33.75" thickBot="1" x14ac:dyDescent="0.3">
      <c r="A57" s="14" t="s">
        <v>93</v>
      </c>
      <c r="B57">
        <v>2567008</v>
      </c>
      <c r="C57" s="23">
        <v>2412550</v>
      </c>
      <c r="D57" s="25"/>
      <c r="E57" s="14" t="s">
        <v>93</v>
      </c>
      <c r="F57" s="3">
        <v>17319418</v>
      </c>
      <c r="G57" s="23">
        <v>14526500</v>
      </c>
      <c r="H57" s="29" t="s">
        <v>93</v>
      </c>
      <c r="I57" s="30">
        <v>2731790</v>
      </c>
      <c r="J57" s="14"/>
    </row>
    <row r="58" spans="1:16" ht="33.75" thickBot="1" x14ac:dyDescent="0.3">
      <c r="A58" s="14" t="s">
        <v>94</v>
      </c>
      <c r="B58">
        <v>2576293</v>
      </c>
      <c r="C58" s="23">
        <v>2422090</v>
      </c>
      <c r="D58" s="25"/>
      <c r="E58" s="14" t="s">
        <v>94</v>
      </c>
      <c r="F58" s="3">
        <v>17625803</v>
      </c>
      <c r="G58" s="23">
        <v>14694900</v>
      </c>
      <c r="H58" s="29" t="s">
        <v>94</v>
      </c>
      <c r="I58" s="30">
        <v>2765110</v>
      </c>
      <c r="J58" s="14"/>
    </row>
    <row r="59" spans="1:16" ht="33.75" thickBot="1" x14ac:dyDescent="0.3">
      <c r="A59" s="14" t="s">
        <v>95</v>
      </c>
      <c r="B59">
        <v>2583111</v>
      </c>
      <c r="C59" s="23">
        <v>2424020</v>
      </c>
      <c r="D59" s="25"/>
      <c r="E59" s="14" t="s">
        <v>95</v>
      </c>
      <c r="F59" s="3">
        <v>17647997</v>
      </c>
      <c r="G59" s="23">
        <v>14896500</v>
      </c>
      <c r="H59" s="29" t="s">
        <v>95</v>
      </c>
      <c r="I59" s="30">
        <v>2798430</v>
      </c>
      <c r="J59" s="14"/>
    </row>
    <row r="60" spans="1:16" ht="33.75" thickBot="1" x14ac:dyDescent="0.3">
      <c r="A60" s="14" t="s">
        <v>96</v>
      </c>
      <c r="B60">
        <v>2585212</v>
      </c>
      <c r="C60" s="23">
        <v>2422400</v>
      </c>
      <c r="D60" s="25"/>
      <c r="E60" s="14" t="s">
        <v>96</v>
      </c>
      <c r="F60" s="3">
        <v>17739734</v>
      </c>
      <c r="G60" s="23">
        <v>14970300</v>
      </c>
      <c r="H60" s="29" t="s">
        <v>96</v>
      </c>
      <c r="I60" s="30">
        <v>2831750</v>
      </c>
      <c r="J60" s="14"/>
    </row>
    <row r="61" spans="1:16" ht="33.75" thickBot="1" x14ac:dyDescent="0.3">
      <c r="A61" s="14" t="s">
        <v>97</v>
      </c>
      <c r="B61">
        <v>2619578</v>
      </c>
      <c r="C61" s="23">
        <v>2424280</v>
      </c>
      <c r="D61" s="25"/>
      <c r="E61" s="14" t="s">
        <v>97</v>
      </c>
      <c r="F61" s="3">
        <v>17803739</v>
      </c>
      <c r="G61" s="23">
        <v>15485600</v>
      </c>
      <c r="H61" s="29" t="s">
        <v>97</v>
      </c>
      <c r="I61" s="30">
        <v>2865070</v>
      </c>
      <c r="J61" s="14"/>
    </row>
    <row r="62" spans="1:16" ht="33.75" thickBot="1" x14ac:dyDescent="0.3">
      <c r="A62" s="14" t="s">
        <v>98</v>
      </c>
      <c r="B62">
        <v>2673534</v>
      </c>
      <c r="C62" s="23">
        <v>2435610</v>
      </c>
      <c r="D62" s="25"/>
      <c r="E62" s="14" t="s">
        <v>98</v>
      </c>
      <c r="F62" s="3">
        <v>17937939</v>
      </c>
      <c r="G62" s="23">
        <v>15815500</v>
      </c>
      <c r="H62" s="29" t="s">
        <v>98</v>
      </c>
      <c r="I62" s="30">
        <v>2898390</v>
      </c>
      <c r="J62" s="14"/>
    </row>
    <row r="63" spans="1:16" ht="33.75" thickBot="1" x14ac:dyDescent="0.3">
      <c r="A63" s="14" t="s">
        <v>99</v>
      </c>
      <c r="B63">
        <v>2681512</v>
      </c>
      <c r="C63" s="23">
        <v>2460340</v>
      </c>
      <c r="D63" s="25"/>
      <c r="E63" s="14" t="s">
        <v>99</v>
      </c>
      <c r="F63" s="3">
        <v>18055372</v>
      </c>
      <c r="G63" s="23">
        <v>16164200</v>
      </c>
      <c r="H63" s="29" t="s">
        <v>99</v>
      </c>
      <c r="I63" s="30">
        <v>2931710</v>
      </c>
      <c r="J63" s="14"/>
    </row>
    <row r="64" spans="1:16" ht="33.75" thickBot="1" x14ac:dyDescent="0.3">
      <c r="A64" s="14" t="s">
        <v>76</v>
      </c>
      <c r="B64">
        <v>3169720</v>
      </c>
      <c r="C64" s="23">
        <v>2499280</v>
      </c>
      <c r="D64" s="25"/>
      <c r="E64" s="14" t="s">
        <v>76</v>
      </c>
      <c r="F64" s="3">
        <v>18406666</v>
      </c>
      <c r="G64" s="23">
        <v>16607400</v>
      </c>
      <c r="H64" s="29" t="s">
        <v>76</v>
      </c>
      <c r="I64" s="30">
        <v>2965030</v>
      </c>
    </row>
    <row r="65" spans="1:9" ht="33.75" thickBot="1" x14ac:dyDescent="0.3">
      <c r="A65" s="14" t="s">
        <v>77</v>
      </c>
      <c r="B65">
        <v>3222737</v>
      </c>
      <c r="C65" s="23">
        <v>2538220</v>
      </c>
      <c r="D65" s="25"/>
      <c r="E65" s="14" t="s">
        <v>77</v>
      </c>
      <c r="F65" s="3">
        <v>18563764</v>
      </c>
      <c r="G65" s="23">
        <v>17071900</v>
      </c>
      <c r="H65" s="29" t="s">
        <v>77</v>
      </c>
      <c r="I65" s="30">
        <v>2998350</v>
      </c>
    </row>
    <row r="66" spans="1:9" ht="33.75" thickBot="1" x14ac:dyDescent="0.3">
      <c r="A66" s="14" t="s">
        <v>78</v>
      </c>
      <c r="B66">
        <v>3278334</v>
      </c>
      <c r="C66" s="23">
        <v>2574550</v>
      </c>
      <c r="D66" s="25"/>
      <c r="E66" s="14" t="s">
        <v>78</v>
      </c>
      <c r="F66" s="3">
        <v>18849451</v>
      </c>
      <c r="G66" s="23">
        <v>17604400</v>
      </c>
      <c r="H66" s="29" t="s">
        <v>78</v>
      </c>
      <c r="I66" s="30">
        <v>3031670</v>
      </c>
    </row>
    <row r="67" spans="1:9" ht="33.75" thickBot="1" x14ac:dyDescent="0.3">
      <c r="A67" s="14" t="s">
        <v>79</v>
      </c>
      <c r="B67">
        <v>3346486</v>
      </c>
      <c r="C67" s="23">
        <v>2608270</v>
      </c>
      <c r="D67" s="25"/>
      <c r="E67" s="14" t="s">
        <v>79</v>
      </c>
      <c r="F67" s="3">
        <v>18919037</v>
      </c>
      <c r="G67" s="23">
        <v>18248800</v>
      </c>
      <c r="H67" s="29" t="s">
        <v>79</v>
      </c>
      <c r="I67" s="30">
        <v>3064990</v>
      </c>
    </row>
    <row r="68" spans="1:9" ht="33.75" thickBot="1" x14ac:dyDescent="0.3">
      <c r="A68" s="14" t="s">
        <v>80</v>
      </c>
      <c r="B68">
        <v>3371391</v>
      </c>
      <c r="C68" s="23">
        <v>2636180</v>
      </c>
      <c r="D68" s="25"/>
      <c r="E68" s="14" t="s">
        <v>80</v>
      </c>
      <c r="F68" s="3">
        <v>19012126</v>
      </c>
      <c r="G68" s="23">
        <v>18537900</v>
      </c>
      <c r="H68" s="29" t="s">
        <v>80</v>
      </c>
      <c r="I68" s="30">
        <v>3098310</v>
      </c>
    </row>
    <row r="69" spans="1:9" ht="33.75" thickBot="1" x14ac:dyDescent="0.3">
      <c r="A69" s="14" t="s">
        <v>81</v>
      </c>
      <c r="B69">
        <v>3446055</v>
      </c>
      <c r="C69" s="23">
        <v>2656400</v>
      </c>
      <c r="D69" s="25"/>
      <c r="E69" s="14" t="s">
        <v>81</v>
      </c>
      <c r="F69" s="3">
        <v>19169565</v>
      </c>
      <c r="G69" s="23">
        <v>18767600</v>
      </c>
      <c r="H69" s="29" t="s">
        <v>81</v>
      </c>
      <c r="I69" s="30">
        <v>3131630</v>
      </c>
    </row>
    <row r="70" spans="1:9" ht="33.75" thickBot="1" x14ac:dyDescent="0.3">
      <c r="A70" s="14" t="s">
        <v>82</v>
      </c>
      <c r="B70">
        <v>3426089</v>
      </c>
      <c r="C70" s="23">
        <v>2665940</v>
      </c>
      <c r="D70" s="25"/>
      <c r="E70" s="14" t="s">
        <v>82</v>
      </c>
      <c r="F70" s="3">
        <v>19372776</v>
      </c>
      <c r="G70" s="23">
        <v>18589330</v>
      </c>
      <c r="H70" s="29" t="s">
        <v>82</v>
      </c>
      <c r="I70" s="30">
        <v>3164950</v>
      </c>
    </row>
    <row r="71" spans="1:9" ht="33.75" thickBot="1" x14ac:dyDescent="0.3">
      <c r="A71" s="14" t="s">
        <v>83</v>
      </c>
      <c r="B71">
        <v>3205302</v>
      </c>
      <c r="C71" s="23">
        <v>2667870</v>
      </c>
      <c r="D71" s="25"/>
      <c r="E71" s="14" t="s">
        <v>83</v>
      </c>
      <c r="F71" s="16">
        <v>19330427</v>
      </c>
      <c r="G71" s="23">
        <v>18468440</v>
      </c>
      <c r="H71" s="29" t="s">
        <v>83</v>
      </c>
      <c r="I71" s="30">
        <v>3198270</v>
      </c>
    </row>
    <row r="72" spans="1:9" ht="33.75" thickBot="1" x14ac:dyDescent="0.3">
      <c r="A72" s="14" t="s">
        <v>84</v>
      </c>
      <c r="B72">
        <v>3195976</v>
      </c>
      <c r="C72" s="23">
        <v>2666250</v>
      </c>
      <c r="D72" s="25"/>
      <c r="E72" s="14" t="s">
        <v>84</v>
      </c>
      <c r="F72" s="3">
        <v>19396289</v>
      </c>
      <c r="G72" s="23">
        <v>18429360</v>
      </c>
      <c r="H72" s="29" t="s">
        <v>84</v>
      </c>
      <c r="I72" s="30">
        <v>3231590</v>
      </c>
    </row>
    <row r="73" spans="1:9" ht="33.75" thickBot="1" x14ac:dyDescent="0.3">
      <c r="A73" s="14" t="s">
        <v>85</v>
      </c>
      <c r="B73">
        <v>3201682</v>
      </c>
      <c r="C73" s="23">
        <v>2668130</v>
      </c>
      <c r="D73" s="25"/>
      <c r="E73" s="14" t="s">
        <v>85</v>
      </c>
      <c r="F73" s="3">
        <v>19523114</v>
      </c>
      <c r="G73" s="23">
        <v>18751350</v>
      </c>
      <c r="H73" s="29" t="s">
        <v>85</v>
      </c>
      <c r="I73" s="30">
        <v>3264910</v>
      </c>
    </row>
    <row r="74" spans="1:9" ht="33.75" thickBot="1" x14ac:dyDescent="0.3">
      <c r="A74" s="14" t="s">
        <v>86</v>
      </c>
      <c r="B74">
        <v>3254799</v>
      </c>
      <c r="C74" s="23">
        <v>2679460</v>
      </c>
      <c r="D74" s="25"/>
      <c r="E74" s="14" t="s">
        <v>86</v>
      </c>
      <c r="F74" s="3">
        <v>19645634</v>
      </c>
      <c r="G74" s="23">
        <v>19244500</v>
      </c>
      <c r="H74" s="29" t="s">
        <v>86</v>
      </c>
      <c r="I74" s="30">
        <v>3298230</v>
      </c>
    </row>
    <row r="75" spans="1:9" ht="33.75" thickBot="1" x14ac:dyDescent="0.3">
      <c r="A75" s="14" t="s">
        <v>87</v>
      </c>
      <c r="B75">
        <v>3255680</v>
      </c>
      <c r="C75" s="23">
        <v>2704190</v>
      </c>
      <c r="D75" s="25"/>
      <c r="E75" s="14" t="s">
        <v>87</v>
      </c>
      <c r="F75" s="3">
        <v>20114036</v>
      </c>
      <c r="G75" s="23">
        <v>19509100</v>
      </c>
      <c r="H75" s="29" t="s">
        <v>87</v>
      </c>
      <c r="I75" s="30">
        <v>3331550</v>
      </c>
    </row>
    <row r="76" spans="1:9" ht="33.75" thickBot="1" x14ac:dyDescent="0.3">
      <c r="A76" s="14" t="s">
        <v>64</v>
      </c>
      <c r="B76">
        <v>2707213</v>
      </c>
      <c r="C76" s="23">
        <v>2743130</v>
      </c>
      <c r="D76" s="25"/>
      <c r="E76" s="14" t="s">
        <v>64</v>
      </c>
      <c r="F76" s="16">
        <v>19947684</v>
      </c>
      <c r="G76" s="23">
        <v>19867350</v>
      </c>
      <c r="H76" s="29" t="s">
        <v>64</v>
      </c>
      <c r="I76" s="30">
        <v>3364870</v>
      </c>
    </row>
    <row r="77" spans="1:9" ht="33.75" thickBot="1" x14ac:dyDescent="0.3">
      <c r="A77" s="14" t="s">
        <v>65</v>
      </c>
      <c r="B77">
        <v>2735085</v>
      </c>
      <c r="C77" s="23">
        <v>2782070</v>
      </c>
      <c r="D77" s="25"/>
      <c r="E77" s="14" t="s">
        <v>65</v>
      </c>
      <c r="F77" s="16">
        <v>20183528</v>
      </c>
      <c r="G77" s="23">
        <v>22554260</v>
      </c>
      <c r="H77" s="29" t="s">
        <v>65</v>
      </c>
      <c r="I77" s="30">
        <v>3398190</v>
      </c>
    </row>
    <row r="78" spans="1:9" ht="33.75" thickBot="1" x14ac:dyDescent="0.3">
      <c r="A78" s="14" t="s">
        <v>66</v>
      </c>
      <c r="B78">
        <v>2756705</v>
      </c>
      <c r="C78" s="23">
        <v>2818400</v>
      </c>
      <c r="D78" s="25"/>
      <c r="E78" s="14" t="s">
        <v>66</v>
      </c>
      <c r="F78" s="3">
        <v>20489597</v>
      </c>
      <c r="G78" s="23">
        <v>20550440</v>
      </c>
      <c r="H78" s="29" t="s">
        <v>66</v>
      </c>
      <c r="I78" s="30">
        <v>3431510</v>
      </c>
    </row>
    <row r="79" spans="1:9" ht="33.75" thickBot="1" x14ac:dyDescent="0.3">
      <c r="A79" s="14" t="s">
        <v>67</v>
      </c>
      <c r="B79">
        <v>2802804</v>
      </c>
      <c r="C79" s="23">
        <v>2852120</v>
      </c>
      <c r="D79" s="25"/>
      <c r="E79" s="14" t="s">
        <v>67</v>
      </c>
      <c r="F79" s="3">
        <v>20712048</v>
      </c>
      <c r="G79" s="23">
        <v>20920670</v>
      </c>
      <c r="H79" s="29" t="s">
        <v>67</v>
      </c>
      <c r="I79" s="30">
        <v>3464830</v>
      </c>
    </row>
    <row r="80" spans="1:9" ht="33.75" thickBot="1" x14ac:dyDescent="0.3">
      <c r="A80" s="14" t="s">
        <v>68</v>
      </c>
      <c r="B80">
        <v>2861264</v>
      </c>
      <c r="C80" s="23">
        <v>2880030</v>
      </c>
      <c r="D80" s="25"/>
      <c r="E80" s="14" t="s">
        <v>68</v>
      </c>
      <c r="F80" s="3">
        <v>20682307</v>
      </c>
      <c r="G80" s="23">
        <v>21173660</v>
      </c>
      <c r="H80" s="29" t="s">
        <v>68</v>
      </c>
      <c r="I80" s="30">
        <v>3498150</v>
      </c>
    </row>
    <row r="81" spans="1:9" ht="33.75" thickBot="1" x14ac:dyDescent="0.3">
      <c r="A81" s="14" t="s">
        <v>137</v>
      </c>
      <c r="B81">
        <v>2887260</v>
      </c>
      <c r="C81" s="23">
        <v>2900250</v>
      </c>
      <c r="D81" s="25"/>
      <c r="E81" s="14" t="s">
        <v>137</v>
      </c>
      <c r="F81" s="3">
        <v>20663817</v>
      </c>
      <c r="G81" s="23">
        <v>21166770</v>
      </c>
      <c r="H81" s="29" t="s">
        <v>137</v>
      </c>
      <c r="I81" s="30">
        <v>3531470</v>
      </c>
    </row>
    <row r="82" spans="1:9" ht="33.75" thickBot="1" x14ac:dyDescent="0.3">
      <c r="A82" s="14" t="s">
        <v>70</v>
      </c>
      <c r="B82">
        <v>2839134</v>
      </c>
      <c r="C82" s="23">
        <v>2909790</v>
      </c>
      <c r="D82" s="25"/>
      <c r="E82" s="14" t="s">
        <v>70</v>
      </c>
      <c r="F82" s="3">
        <v>21032348</v>
      </c>
      <c r="G82" s="23">
        <v>20987050</v>
      </c>
      <c r="H82" s="29" t="s">
        <v>70</v>
      </c>
      <c r="I82" s="30">
        <v>3564790</v>
      </c>
    </row>
    <row r="83" spans="1:9" ht="33.75" thickBot="1" x14ac:dyDescent="0.3">
      <c r="A83" s="14" t="s">
        <v>71</v>
      </c>
      <c r="B83">
        <v>2830825</v>
      </c>
      <c r="C83" s="23">
        <v>2911720</v>
      </c>
      <c r="D83" s="25"/>
      <c r="E83" s="14" t="s">
        <v>71</v>
      </c>
      <c r="F83" s="3">
        <v>21051423</v>
      </c>
      <c r="G83" s="23">
        <v>20826340</v>
      </c>
      <c r="H83" s="29" t="s">
        <v>71</v>
      </c>
      <c r="I83" s="30">
        <v>3598110</v>
      </c>
    </row>
    <row r="84" spans="1:9" ht="33.75" thickBot="1" x14ac:dyDescent="0.3">
      <c r="A84" s="14" t="s">
        <v>72</v>
      </c>
      <c r="B84">
        <v>2815017</v>
      </c>
      <c r="C84" s="23">
        <v>2910100</v>
      </c>
      <c r="D84" s="25"/>
      <c r="E84" s="14" t="s">
        <v>72</v>
      </c>
      <c r="F84" s="3">
        <v>21072896</v>
      </c>
      <c r="G84" s="23">
        <v>20891980</v>
      </c>
      <c r="H84" s="29" t="s">
        <v>72</v>
      </c>
      <c r="I84" s="30">
        <v>3631430</v>
      </c>
    </row>
    <row r="85" spans="1:9" ht="33.75" thickBot="1" x14ac:dyDescent="0.3">
      <c r="A85" s="14" t="s">
        <v>73</v>
      </c>
      <c r="B85">
        <v>2825698</v>
      </c>
      <c r="C85" s="23">
        <v>2911980</v>
      </c>
      <c r="D85" s="25"/>
      <c r="E85" s="14" t="s">
        <v>73</v>
      </c>
      <c r="F85" s="3">
        <v>21301949</v>
      </c>
      <c r="G85" s="23">
        <v>21618810</v>
      </c>
      <c r="H85" s="29" t="s">
        <v>73</v>
      </c>
      <c r="I85" s="30">
        <v>3664750</v>
      </c>
    </row>
    <row r="86" spans="1:9" ht="33.75" thickBot="1" x14ac:dyDescent="0.3">
      <c r="A86" s="14" t="s">
        <v>74</v>
      </c>
      <c r="B86">
        <v>2878246</v>
      </c>
      <c r="C86" s="23">
        <v>2923310</v>
      </c>
      <c r="D86" s="25"/>
      <c r="E86" s="14" t="s">
        <v>74</v>
      </c>
      <c r="F86" s="3">
        <v>21399921</v>
      </c>
      <c r="G86" s="23">
        <v>21724880</v>
      </c>
      <c r="H86" s="29" t="s">
        <v>74</v>
      </c>
      <c r="I86" s="30">
        <v>3698070</v>
      </c>
    </row>
    <row r="87" spans="1:9" ht="33.75" thickBot="1" x14ac:dyDescent="0.3">
      <c r="A87" s="14" t="s">
        <v>75</v>
      </c>
      <c r="B87">
        <v>2881115</v>
      </c>
      <c r="C87" s="23">
        <v>2948040</v>
      </c>
      <c r="D87" s="25"/>
      <c r="E87" s="14" t="s">
        <v>75</v>
      </c>
      <c r="F87">
        <v>24255556</v>
      </c>
      <c r="G87" s="23">
        <v>21806010</v>
      </c>
      <c r="H87" s="29" t="s">
        <v>75</v>
      </c>
      <c r="I87" s="30">
        <v>3731390</v>
      </c>
    </row>
    <row r="88" spans="1:9" ht="33.75" thickBot="1" x14ac:dyDescent="0.3">
      <c r="A88" s="14" t="s">
        <v>52</v>
      </c>
      <c r="B88">
        <v>2931921</v>
      </c>
      <c r="C88" s="23">
        <v>2986980</v>
      </c>
      <c r="D88" s="25"/>
      <c r="E88" s="14" t="s">
        <v>52</v>
      </c>
      <c r="F88" s="16">
        <v>21895034</v>
      </c>
      <c r="G88" s="23">
        <v>22187750</v>
      </c>
      <c r="H88" s="29" t="s">
        <v>52</v>
      </c>
      <c r="I88" s="30">
        <v>3764710</v>
      </c>
    </row>
    <row r="89" spans="1:9" ht="33.75" thickBot="1" x14ac:dyDescent="0.3">
      <c r="A89" s="14" t="s">
        <v>53</v>
      </c>
      <c r="B89">
        <v>2980565</v>
      </c>
      <c r="C89" s="23">
        <v>3025920</v>
      </c>
      <c r="D89" s="25"/>
      <c r="E89" s="14" t="s">
        <v>53</v>
      </c>
      <c r="F89" s="3">
        <v>22093331</v>
      </c>
      <c r="G89" s="23">
        <v>22554260</v>
      </c>
      <c r="H89" s="29" t="s">
        <v>53</v>
      </c>
      <c r="I89" s="30">
        <v>3798030</v>
      </c>
    </row>
    <row r="90" spans="1:9" ht="33.75" thickBot="1" x14ac:dyDescent="0.3">
      <c r="A90" s="14" t="s">
        <v>54</v>
      </c>
      <c r="B90">
        <v>3037622</v>
      </c>
      <c r="C90" s="23">
        <v>3062250</v>
      </c>
      <c r="D90" s="25"/>
      <c r="E90" s="14" t="s">
        <v>54</v>
      </c>
      <c r="F90" s="3">
        <v>22333227</v>
      </c>
      <c r="G90" s="23">
        <v>23417440</v>
      </c>
      <c r="H90" s="29" t="s">
        <v>54</v>
      </c>
      <c r="I90" s="30">
        <v>3831350</v>
      </c>
    </row>
    <row r="91" spans="1:9" ht="33.75" thickBot="1" x14ac:dyDescent="0.3">
      <c r="A91" s="14" t="s">
        <v>55</v>
      </c>
      <c r="B91">
        <v>3093159</v>
      </c>
      <c r="C91" s="23">
        <v>3095970</v>
      </c>
      <c r="D91" s="25"/>
      <c r="E91" s="14" t="s">
        <v>55</v>
      </c>
      <c r="F91" s="3">
        <v>22683199</v>
      </c>
      <c r="G91" s="23">
        <v>24246210</v>
      </c>
      <c r="H91" s="29" t="s">
        <v>55</v>
      </c>
      <c r="I91" s="30">
        <v>3864670</v>
      </c>
    </row>
    <row r="92" spans="1:9" ht="33.75" thickBot="1" x14ac:dyDescent="0.3">
      <c r="A92" s="14" t="s">
        <v>56</v>
      </c>
      <c r="B92">
        <v>3117960</v>
      </c>
      <c r="C92" s="23">
        <v>3123880</v>
      </c>
      <c r="D92" s="25"/>
      <c r="E92" s="14" t="s">
        <v>56</v>
      </c>
      <c r="F92" s="5">
        <v>22766810</v>
      </c>
      <c r="G92" s="23">
        <v>25127420</v>
      </c>
      <c r="H92" s="29" t="s">
        <v>56</v>
      </c>
      <c r="I92" s="30">
        <v>3897990</v>
      </c>
    </row>
    <row r="93" spans="1:9" ht="33.75" thickBot="1" x14ac:dyDescent="0.3">
      <c r="A93" s="14" t="s">
        <v>57</v>
      </c>
      <c r="B93">
        <v>3104151</v>
      </c>
      <c r="C93" s="23">
        <v>3144100</v>
      </c>
      <c r="D93" s="25"/>
      <c r="E93" s="14" t="s">
        <v>57</v>
      </c>
      <c r="F93" s="6">
        <v>25702033</v>
      </c>
      <c r="G93" s="23">
        <v>25670080</v>
      </c>
      <c r="H93" s="29" t="s">
        <v>57</v>
      </c>
      <c r="I93" s="30">
        <v>3931310</v>
      </c>
    </row>
    <row r="94" spans="1:9" ht="33.75" thickBot="1" x14ac:dyDescent="0.3">
      <c r="A94" s="14" t="s">
        <v>58</v>
      </c>
      <c r="B94">
        <v>3063746</v>
      </c>
      <c r="C94" s="23">
        <v>3153640</v>
      </c>
      <c r="D94" s="25"/>
      <c r="E94" s="14" t="s">
        <v>58</v>
      </c>
      <c r="F94" s="3">
        <v>25590453</v>
      </c>
      <c r="G94" s="23">
        <v>25762930</v>
      </c>
      <c r="H94" s="29" t="s">
        <v>58</v>
      </c>
      <c r="I94" s="30">
        <v>3964630</v>
      </c>
    </row>
    <row r="95" spans="1:9" ht="33.75" thickBot="1" x14ac:dyDescent="0.3">
      <c r="A95" s="14" t="s">
        <v>59</v>
      </c>
      <c r="B95">
        <v>3062479</v>
      </c>
      <c r="C95" s="23">
        <v>3155570</v>
      </c>
      <c r="D95" s="25"/>
      <c r="E95" s="14" t="s">
        <v>59</v>
      </c>
      <c r="F95" s="3">
        <v>23325909</v>
      </c>
      <c r="G95" s="23">
        <v>25831110</v>
      </c>
      <c r="H95" s="29" t="s">
        <v>59</v>
      </c>
      <c r="I95" s="30">
        <v>3997950</v>
      </c>
    </row>
    <row r="96" spans="1:9" ht="33.75" thickBot="1" x14ac:dyDescent="0.3">
      <c r="A96" s="14" t="s">
        <v>60</v>
      </c>
      <c r="B96">
        <v>3044594</v>
      </c>
      <c r="C96" s="23">
        <v>3153950</v>
      </c>
      <c r="D96" s="25"/>
      <c r="E96" s="14" t="s">
        <v>60</v>
      </c>
      <c r="F96" s="3">
        <v>23362301</v>
      </c>
      <c r="G96" s="23">
        <v>25852120</v>
      </c>
      <c r="H96" s="29" t="s">
        <v>60</v>
      </c>
      <c r="I96" s="30">
        <v>4031270</v>
      </c>
    </row>
    <row r="97" spans="1:22" ht="33.75" thickBot="1" x14ac:dyDescent="0.3">
      <c r="A97" s="14" t="s">
        <v>61</v>
      </c>
      <c r="B97">
        <v>3088753</v>
      </c>
      <c r="C97" s="23">
        <v>3155830</v>
      </c>
      <c r="D97" s="25"/>
      <c r="E97" s="14" t="s">
        <v>61</v>
      </c>
      <c r="F97" s="3">
        <v>23605738</v>
      </c>
      <c r="G97" s="23">
        <v>26195780</v>
      </c>
      <c r="H97" s="29" t="s">
        <v>61</v>
      </c>
      <c r="I97" s="30">
        <v>4064590</v>
      </c>
    </row>
    <row r="98" spans="1:22" ht="33.75" thickBot="1" x14ac:dyDescent="0.3">
      <c r="A98" s="14" t="s">
        <v>62</v>
      </c>
      <c r="B98">
        <v>3093618</v>
      </c>
      <c r="C98" s="23">
        <v>3167160</v>
      </c>
      <c r="D98" s="25"/>
      <c r="E98" s="14" t="s">
        <v>62</v>
      </c>
      <c r="F98" s="3">
        <v>23806744</v>
      </c>
      <c r="G98" s="23">
        <v>26735340</v>
      </c>
      <c r="H98" s="29" t="s">
        <v>62</v>
      </c>
      <c r="I98" s="30">
        <v>4097910</v>
      </c>
    </row>
    <row r="99" spans="1:22" ht="33.75" thickBot="1" x14ac:dyDescent="0.3">
      <c r="A99" s="14" t="s">
        <v>63</v>
      </c>
      <c r="B99">
        <v>3255680</v>
      </c>
      <c r="C99" s="23">
        <v>3191890</v>
      </c>
      <c r="D99" s="25"/>
      <c r="E99" s="14" t="s">
        <v>63</v>
      </c>
      <c r="F99" s="16">
        <v>24255556</v>
      </c>
      <c r="G99" s="23">
        <v>26815120</v>
      </c>
      <c r="H99" s="29" t="s">
        <v>63</v>
      </c>
      <c r="I99" s="30">
        <v>4131230</v>
      </c>
    </row>
    <row r="100" spans="1:22" ht="33.75" thickBot="1" x14ac:dyDescent="0.3">
      <c r="A100" s="14" t="s">
        <v>40</v>
      </c>
      <c r="B100">
        <v>3323263</v>
      </c>
      <c r="C100" s="23">
        <v>3230830</v>
      </c>
      <c r="D100" s="25"/>
      <c r="E100" s="14" t="s">
        <v>40</v>
      </c>
      <c r="F100" s="16">
        <v>24301366</v>
      </c>
      <c r="G100" s="23">
        <v>31697200</v>
      </c>
      <c r="H100" s="29" t="s">
        <v>40</v>
      </c>
      <c r="I100" s="30">
        <v>4164550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33.75" thickBot="1" x14ac:dyDescent="0.3">
      <c r="A101" s="14" t="s">
        <v>41</v>
      </c>
      <c r="B101">
        <v>3361633</v>
      </c>
      <c r="C101" s="23">
        <v>3269770</v>
      </c>
      <c r="D101" s="25"/>
      <c r="E101" s="14" t="s">
        <v>41</v>
      </c>
      <c r="F101" s="3">
        <v>24494113</v>
      </c>
      <c r="G101" s="23">
        <v>32227370</v>
      </c>
      <c r="H101" s="29" t="s">
        <v>41</v>
      </c>
      <c r="I101" s="30">
        <v>4197870</v>
      </c>
      <c r="J101" s="16" t="e">
        <f>F101+G101+H101+I101</f>
        <v>#VALUE!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ht="33.75" thickBot="1" x14ac:dyDescent="0.3">
      <c r="A102" s="14" t="s">
        <v>42</v>
      </c>
      <c r="B102">
        <v>3418888</v>
      </c>
      <c r="C102" s="23">
        <v>3306100</v>
      </c>
      <c r="D102" s="25"/>
      <c r="E102" s="14" t="s">
        <v>42</v>
      </c>
      <c r="F102" s="6">
        <v>24830516</v>
      </c>
      <c r="G102" s="23">
        <v>32783340</v>
      </c>
      <c r="H102" s="29" t="s">
        <v>42</v>
      </c>
      <c r="I102" s="30">
        <v>4231190</v>
      </c>
      <c r="J102" s="16" t="e">
        <f t="shared" ref="J102:J111" si="0">F102+G102+H102+I102</f>
        <v>#VALUE!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ht="33.75" thickBot="1" x14ac:dyDescent="0.3">
      <c r="A103" s="14" t="s">
        <v>43</v>
      </c>
      <c r="B103">
        <v>3454255</v>
      </c>
      <c r="C103" s="23">
        <v>3339820</v>
      </c>
      <c r="D103" s="25"/>
      <c r="E103" s="14" t="s">
        <v>43</v>
      </c>
      <c r="F103" s="3">
        <v>25153975</v>
      </c>
      <c r="G103" s="23">
        <v>33464860</v>
      </c>
      <c r="H103" s="29" t="s">
        <v>43</v>
      </c>
      <c r="I103" s="30">
        <v>4264510</v>
      </c>
      <c r="J103" s="16" t="e">
        <f t="shared" si="0"/>
        <v>#VALUE!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ht="33.75" thickBot="1" x14ac:dyDescent="0.3">
      <c r="A104" s="14" t="s">
        <v>44</v>
      </c>
      <c r="B104">
        <v>3468476</v>
      </c>
      <c r="C104" s="23">
        <v>3367730</v>
      </c>
      <c r="D104" s="25"/>
      <c r="E104" s="14" t="s">
        <v>44</v>
      </c>
      <c r="F104" s="3">
        <v>25514591</v>
      </c>
      <c r="G104" s="23">
        <v>33713910</v>
      </c>
      <c r="H104" s="29" t="s">
        <v>44</v>
      </c>
      <c r="I104" s="30">
        <v>4297830</v>
      </c>
      <c r="J104" s="16" t="e">
        <f t="shared" si="0"/>
        <v>#VALUE!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ht="33.75" thickBot="1" x14ac:dyDescent="0.3">
      <c r="A105" s="14" t="s">
        <v>45</v>
      </c>
      <c r="B105">
        <v>3445861</v>
      </c>
      <c r="C105" s="23">
        <v>3387950</v>
      </c>
      <c r="D105" s="25"/>
      <c r="E105" s="14" t="s">
        <v>45</v>
      </c>
      <c r="F105" s="3">
        <v>25701839</v>
      </c>
      <c r="G105" s="23">
        <v>34460550</v>
      </c>
      <c r="H105" s="29" t="s">
        <v>45</v>
      </c>
      <c r="I105" s="30">
        <v>4331150</v>
      </c>
      <c r="J105" s="16" t="e">
        <f t="shared" si="0"/>
        <v>#VALUE!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ht="33.75" thickBot="1" x14ac:dyDescent="0.3">
      <c r="A106" s="14" t="s">
        <v>46</v>
      </c>
      <c r="B106">
        <v>3426089</v>
      </c>
      <c r="C106" s="23">
        <v>3397490</v>
      </c>
      <c r="D106" s="25"/>
      <c r="E106" s="14" t="s">
        <v>46</v>
      </c>
      <c r="F106" s="3">
        <v>25590453</v>
      </c>
      <c r="G106" s="23">
        <v>34260890</v>
      </c>
      <c r="H106" s="29" t="s">
        <v>46</v>
      </c>
      <c r="I106" s="30">
        <v>4364470</v>
      </c>
      <c r="J106" s="16" t="e">
        <f t="shared" si="0"/>
        <v>#VALUE!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ht="33.75" thickBot="1" x14ac:dyDescent="0.3">
      <c r="A107" s="14" t="s">
        <v>47</v>
      </c>
      <c r="B107">
        <v>3404741</v>
      </c>
      <c r="C107" s="23">
        <v>3399420</v>
      </c>
      <c r="D107" s="25"/>
      <c r="E107" s="14" t="s">
        <v>47</v>
      </c>
      <c r="F107" s="3">
        <v>25704100</v>
      </c>
      <c r="G107" s="23">
        <v>32053020</v>
      </c>
      <c r="H107" s="29" t="s">
        <v>47</v>
      </c>
      <c r="I107" s="30">
        <v>4397790</v>
      </c>
      <c r="J107" s="16" t="e">
        <f t="shared" si="0"/>
        <v>#VALUE!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ht="33.75" thickBot="1" x14ac:dyDescent="0.3">
      <c r="A108" s="14" t="s">
        <v>48</v>
      </c>
      <c r="B108">
        <v>3392284</v>
      </c>
      <c r="C108" s="23">
        <v>3397800</v>
      </c>
      <c r="D108" s="25"/>
      <c r="E108" s="14" t="s">
        <v>48</v>
      </c>
      <c r="F108" s="3">
        <v>25878848</v>
      </c>
      <c r="G108" s="23">
        <v>31959760</v>
      </c>
      <c r="H108" s="29" t="s">
        <v>48</v>
      </c>
      <c r="I108" s="30">
        <v>4431110</v>
      </c>
      <c r="J108" s="16" t="e">
        <f t="shared" si="0"/>
        <v>#VALUE!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ht="33.75" thickBot="1" x14ac:dyDescent="0.3">
      <c r="A109" s="14" t="s">
        <v>49</v>
      </c>
      <c r="B109">
        <v>3415233</v>
      </c>
      <c r="C109" s="23">
        <v>3399680</v>
      </c>
      <c r="D109" s="25"/>
      <c r="E109" s="14" t="s">
        <v>49</v>
      </c>
      <c r="F109" s="3">
        <v>26216711</v>
      </c>
      <c r="G109" s="23">
        <v>32016820</v>
      </c>
      <c r="H109" s="29" t="s">
        <v>49</v>
      </c>
      <c r="I109" s="30">
        <v>4464430</v>
      </c>
      <c r="J109" s="16" t="e">
        <f t="shared" si="0"/>
        <v>#VALUE!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ht="33.75" thickBot="1" x14ac:dyDescent="0.3">
      <c r="A110" s="14" t="s">
        <v>50</v>
      </c>
      <c r="B110">
        <v>3444217</v>
      </c>
      <c r="C110" s="23">
        <v>3411010</v>
      </c>
      <c r="D110" s="25"/>
      <c r="E110" s="14" t="s">
        <v>50</v>
      </c>
      <c r="F110" s="6">
        <v>26448230</v>
      </c>
      <c r="G110" s="23">
        <v>32547990</v>
      </c>
      <c r="H110" s="29" t="s">
        <v>50</v>
      </c>
      <c r="I110" s="30">
        <v>4497750</v>
      </c>
      <c r="J110" s="16" t="e">
        <f t="shared" si="0"/>
        <v>#VALUE!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ht="33.75" thickBot="1" x14ac:dyDescent="0.3">
      <c r="A111" s="14" t="s">
        <v>51</v>
      </c>
      <c r="B111">
        <v>3459977</v>
      </c>
      <c r="C111" s="23">
        <v>3435740</v>
      </c>
      <c r="D111" s="25"/>
      <c r="E111" s="14" t="s">
        <v>51</v>
      </c>
      <c r="F111" s="6">
        <v>26512774</v>
      </c>
      <c r="G111" s="23">
        <v>32556800</v>
      </c>
      <c r="H111" s="29" t="s">
        <v>51</v>
      </c>
      <c r="I111" s="30">
        <v>4531070</v>
      </c>
      <c r="J111" s="16" t="e">
        <f t="shared" si="0"/>
        <v>#VALUE!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x14ac:dyDescent="0.25"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4EE4-F816-4222-99CC-2792741D15AA}">
  <dimension ref="A1:L110"/>
  <sheetViews>
    <sheetView topLeftCell="A49" zoomScale="65" workbookViewId="0">
      <selection activeCell="A38" sqref="A38:C110"/>
    </sheetView>
  </sheetViews>
  <sheetFormatPr defaultRowHeight="15" x14ac:dyDescent="0.25"/>
  <cols>
    <col min="2" max="2" width="15" bestFit="1" customWidth="1"/>
    <col min="3" max="3" width="14" bestFit="1" customWidth="1"/>
    <col min="8" max="8" width="9.28515625" bestFit="1" customWidth="1"/>
    <col min="9" max="10" width="11.42578125" bestFit="1" customWidth="1"/>
    <col min="11" max="11" width="12.85546875" bestFit="1" customWidth="1"/>
  </cols>
  <sheetData>
    <row r="1" spans="1:3" x14ac:dyDescent="0.25">
      <c r="A1" t="s">
        <v>146</v>
      </c>
      <c r="B1" t="s">
        <v>144</v>
      </c>
      <c r="C1" t="s">
        <v>148</v>
      </c>
    </row>
    <row r="2" spans="1:3" x14ac:dyDescent="0.25">
      <c r="A2" s="14" t="s">
        <v>28</v>
      </c>
      <c r="B2">
        <v>1656990</v>
      </c>
    </row>
    <row r="3" spans="1:3" x14ac:dyDescent="0.25">
      <c r="A3" s="14" t="s">
        <v>29</v>
      </c>
      <c r="B3">
        <v>1689500</v>
      </c>
    </row>
    <row r="4" spans="1:3" x14ac:dyDescent="0.25">
      <c r="A4" s="14" t="s">
        <v>30</v>
      </c>
      <c r="B4">
        <v>1726140</v>
      </c>
    </row>
    <row r="5" spans="1:3" x14ac:dyDescent="0.25">
      <c r="A5" s="14" t="s">
        <v>31</v>
      </c>
      <c r="B5">
        <v>1791600</v>
      </c>
    </row>
    <row r="6" spans="1:3" x14ac:dyDescent="0.25">
      <c r="A6" s="14" t="s">
        <v>32</v>
      </c>
      <c r="B6">
        <v>1806580</v>
      </c>
    </row>
    <row r="7" spans="1:3" x14ac:dyDescent="0.25">
      <c r="A7" s="14" t="s">
        <v>33</v>
      </c>
      <c r="B7">
        <v>1804320</v>
      </c>
    </row>
    <row r="8" spans="1:3" x14ac:dyDescent="0.25">
      <c r="A8" s="14" t="s">
        <v>34</v>
      </c>
      <c r="B8">
        <v>1810560</v>
      </c>
    </row>
    <row r="9" spans="1:3" x14ac:dyDescent="0.25">
      <c r="A9" s="14" t="s">
        <v>35</v>
      </c>
      <c r="B9">
        <v>1815960</v>
      </c>
    </row>
    <row r="10" spans="1:3" x14ac:dyDescent="0.25">
      <c r="A10" s="14" t="s">
        <v>36</v>
      </c>
      <c r="B10">
        <v>1799280</v>
      </c>
    </row>
    <row r="11" spans="1:3" x14ac:dyDescent="0.25">
      <c r="A11" s="14" t="s">
        <v>37</v>
      </c>
      <c r="B11">
        <v>1852850</v>
      </c>
    </row>
    <row r="12" spans="1:3" x14ac:dyDescent="0.25">
      <c r="A12" s="14" t="s">
        <v>38</v>
      </c>
      <c r="B12">
        <v>1480580</v>
      </c>
    </row>
    <row r="13" spans="1:3" x14ac:dyDescent="0.25">
      <c r="A13" s="14" t="s">
        <v>39</v>
      </c>
      <c r="B13">
        <v>1100550</v>
      </c>
    </row>
    <row r="14" spans="1:3" x14ac:dyDescent="0.25">
      <c r="A14" s="14" t="s">
        <v>125</v>
      </c>
      <c r="B14">
        <v>1061880</v>
      </c>
    </row>
    <row r="15" spans="1:3" x14ac:dyDescent="0.25">
      <c r="A15" s="14" t="s">
        <v>126</v>
      </c>
      <c r="B15">
        <v>1198980</v>
      </c>
    </row>
    <row r="16" spans="1:3" x14ac:dyDescent="0.25">
      <c r="A16" s="14" t="s">
        <v>127</v>
      </c>
      <c r="B16">
        <v>1406400</v>
      </c>
    </row>
    <row r="17" spans="1:12" x14ac:dyDescent="0.25">
      <c r="A17" s="14" t="s">
        <v>128</v>
      </c>
      <c r="B17">
        <v>1502030</v>
      </c>
    </row>
    <row r="18" spans="1:12" x14ac:dyDescent="0.25">
      <c r="A18" s="14" t="s">
        <v>116</v>
      </c>
      <c r="B18">
        <v>1562690</v>
      </c>
    </row>
    <row r="19" spans="1:12" x14ac:dyDescent="0.25">
      <c r="A19" s="14" t="s">
        <v>129</v>
      </c>
      <c r="B19">
        <v>1612850</v>
      </c>
    </row>
    <row r="20" spans="1:12" x14ac:dyDescent="0.25">
      <c r="A20" s="14" t="s">
        <v>130</v>
      </c>
      <c r="B20">
        <v>1626470</v>
      </c>
    </row>
    <row r="21" spans="1:12" x14ac:dyDescent="0.25">
      <c r="A21" s="14" t="s">
        <v>131</v>
      </c>
      <c r="B21">
        <v>1652620</v>
      </c>
    </row>
    <row r="22" spans="1:12" x14ac:dyDescent="0.25">
      <c r="A22" s="14" t="s">
        <v>132</v>
      </c>
      <c r="B22">
        <v>1680430</v>
      </c>
    </row>
    <row r="23" spans="1:12" x14ac:dyDescent="0.25">
      <c r="A23" s="14" t="s">
        <v>133</v>
      </c>
      <c r="B23">
        <v>1720890</v>
      </c>
    </row>
    <row r="24" spans="1:12" x14ac:dyDescent="0.25">
      <c r="A24" s="14" t="s">
        <v>134</v>
      </c>
      <c r="B24">
        <v>1738480</v>
      </c>
    </row>
    <row r="25" spans="1:12" x14ac:dyDescent="0.25">
      <c r="A25" s="14" t="s">
        <v>135</v>
      </c>
      <c r="B25">
        <v>1778300</v>
      </c>
    </row>
    <row r="26" spans="1:12" x14ac:dyDescent="0.25">
      <c r="A26" s="14" t="s">
        <v>112</v>
      </c>
      <c r="B26">
        <v>1805820</v>
      </c>
    </row>
    <row r="27" spans="1:12" x14ac:dyDescent="0.25">
      <c r="A27" s="14" t="s">
        <v>113</v>
      </c>
      <c r="B27">
        <v>1848290</v>
      </c>
    </row>
    <row r="28" spans="1:12" ht="182.25" thickBot="1" x14ac:dyDescent="0.3">
      <c r="A28" s="14" t="s">
        <v>114</v>
      </c>
      <c r="B28">
        <v>1899710</v>
      </c>
      <c r="H28" s="34" t="s">
        <v>147</v>
      </c>
      <c r="I28" s="34" t="s">
        <v>142</v>
      </c>
      <c r="J28" s="34" t="s">
        <v>153</v>
      </c>
      <c r="K28" s="34" t="s">
        <v>154</v>
      </c>
      <c r="L28" s="34" t="s">
        <v>155</v>
      </c>
    </row>
    <row r="29" spans="1:12" ht="66.75" thickBot="1" x14ac:dyDescent="0.3">
      <c r="A29" s="14" t="s">
        <v>115</v>
      </c>
      <c r="B29">
        <v>1982410</v>
      </c>
      <c r="H29" s="35">
        <v>2019</v>
      </c>
      <c r="I29" s="27"/>
      <c r="J29" s="27"/>
      <c r="K29" s="27"/>
      <c r="L29" s="35" t="s">
        <v>156</v>
      </c>
    </row>
    <row r="30" spans="1:12" ht="50.25" thickBot="1" x14ac:dyDescent="0.3">
      <c r="A30" s="14" t="s">
        <v>117</v>
      </c>
      <c r="B30">
        <v>2007720</v>
      </c>
      <c r="H30" s="27" t="s">
        <v>100</v>
      </c>
      <c r="I30" s="27">
        <v>14758783</v>
      </c>
      <c r="J30" s="27">
        <v>14820000</v>
      </c>
      <c r="K30" s="27">
        <v>14820000</v>
      </c>
      <c r="L30" s="27" t="s">
        <v>157</v>
      </c>
    </row>
    <row r="31" spans="1:12" ht="116.25" thickBot="1" x14ac:dyDescent="0.3">
      <c r="A31" s="14" t="s">
        <v>118</v>
      </c>
      <c r="B31">
        <v>2038020</v>
      </c>
      <c r="H31" s="27" t="s">
        <v>101</v>
      </c>
      <c r="I31" s="27">
        <v>16458977</v>
      </c>
      <c r="J31" s="27">
        <v>15850000</v>
      </c>
      <c r="K31" s="27">
        <v>15850000</v>
      </c>
      <c r="L31" s="27" t="s">
        <v>158</v>
      </c>
    </row>
    <row r="32" spans="1:12" ht="17.25" thickBot="1" x14ac:dyDescent="0.3">
      <c r="A32" s="14" t="s">
        <v>119</v>
      </c>
      <c r="B32">
        <v>201433400</v>
      </c>
      <c r="H32" s="27" t="s">
        <v>159</v>
      </c>
      <c r="I32" s="27" t="s">
        <v>159</v>
      </c>
      <c r="J32" s="27" t="s">
        <v>159</v>
      </c>
      <c r="K32" s="27" t="s">
        <v>159</v>
      </c>
      <c r="L32" s="27" t="s">
        <v>159</v>
      </c>
    </row>
    <row r="33" spans="1:12" ht="50.25" thickBot="1" x14ac:dyDescent="0.3">
      <c r="A33" s="14" t="s">
        <v>120</v>
      </c>
      <c r="B33">
        <v>200842400</v>
      </c>
      <c r="H33" s="35">
        <v>2020</v>
      </c>
      <c r="I33" s="27"/>
      <c r="J33" s="27"/>
      <c r="K33" s="27"/>
      <c r="L33" s="35" t="s">
        <v>160</v>
      </c>
    </row>
    <row r="34" spans="1:12" ht="248.25" thickBot="1" x14ac:dyDescent="0.3">
      <c r="A34" s="14" t="s">
        <v>121</v>
      </c>
      <c r="B34">
        <v>200755200</v>
      </c>
      <c r="H34" s="27" t="s">
        <v>90</v>
      </c>
      <c r="I34" s="27">
        <v>16791629</v>
      </c>
      <c r="J34" s="27">
        <v>16950000</v>
      </c>
      <c r="K34" s="35">
        <v>17200000</v>
      </c>
      <c r="L34" s="35" t="s">
        <v>161</v>
      </c>
    </row>
    <row r="35" spans="1:12" ht="198.75" thickBot="1" x14ac:dyDescent="0.3">
      <c r="A35" s="14" t="s">
        <v>122</v>
      </c>
      <c r="B35">
        <v>204739100</v>
      </c>
      <c r="H35" s="27" t="s">
        <v>91</v>
      </c>
      <c r="I35" s="27">
        <v>17034088</v>
      </c>
      <c r="J35" s="27">
        <v>17080000</v>
      </c>
      <c r="K35" s="35">
        <v>17800000</v>
      </c>
      <c r="L35" s="27" t="s">
        <v>162</v>
      </c>
    </row>
    <row r="36" spans="1:12" ht="165.75" thickBot="1" x14ac:dyDescent="0.3">
      <c r="A36" s="14" t="s">
        <v>123</v>
      </c>
      <c r="B36">
        <v>2096960</v>
      </c>
      <c r="H36" s="27" t="s">
        <v>99</v>
      </c>
      <c r="I36" s="27">
        <v>18055372</v>
      </c>
      <c r="J36" s="27">
        <v>17620000</v>
      </c>
      <c r="K36" s="35">
        <v>19200000</v>
      </c>
      <c r="L36" s="27" t="s">
        <v>163</v>
      </c>
    </row>
    <row r="37" spans="1:12" ht="66.75" thickBot="1" x14ac:dyDescent="0.3">
      <c r="A37" s="14" t="s">
        <v>124</v>
      </c>
      <c r="B37">
        <v>2108840</v>
      </c>
      <c r="C37" s="26"/>
      <c r="H37" s="35">
        <v>2021</v>
      </c>
      <c r="I37" s="27"/>
      <c r="J37" s="27"/>
      <c r="K37" s="27"/>
      <c r="L37" s="35" t="s">
        <v>164</v>
      </c>
    </row>
    <row r="38" spans="1:12" ht="297.75" thickBot="1" x14ac:dyDescent="0.3">
      <c r="A38" t="s">
        <v>146</v>
      </c>
      <c r="B38" t="s">
        <v>144</v>
      </c>
      <c r="C38" t="s">
        <v>148</v>
      </c>
      <c r="H38" s="27" t="s">
        <v>81</v>
      </c>
      <c r="I38" s="27">
        <v>19169565</v>
      </c>
      <c r="J38" s="27">
        <v>18210000</v>
      </c>
      <c r="K38" s="35">
        <v>20150000</v>
      </c>
      <c r="L38" s="35" t="s">
        <v>165</v>
      </c>
    </row>
    <row r="39" spans="1:12" ht="215.25" thickBot="1" x14ac:dyDescent="0.3">
      <c r="A39" s="14" t="s">
        <v>100</v>
      </c>
      <c r="B39">
        <v>2143382</v>
      </c>
      <c r="C39" s="28">
        <v>2165350</v>
      </c>
      <c r="H39" s="27" t="s">
        <v>87</v>
      </c>
      <c r="I39" s="27">
        <v>20114036</v>
      </c>
      <c r="J39" s="27">
        <v>18500000</v>
      </c>
      <c r="K39" s="35">
        <v>20500000</v>
      </c>
      <c r="L39" s="27" t="s">
        <v>166</v>
      </c>
    </row>
    <row r="40" spans="1:12" ht="83.25" thickBot="1" x14ac:dyDescent="0.3">
      <c r="A40" s="14" t="s">
        <v>101</v>
      </c>
      <c r="B40">
        <v>2441051</v>
      </c>
      <c r="C40" s="28">
        <v>2198670</v>
      </c>
      <c r="H40" s="35">
        <v>2022</v>
      </c>
      <c r="I40" s="27"/>
      <c r="J40" s="27"/>
      <c r="K40" s="27"/>
      <c r="L40" s="35" t="s">
        <v>167</v>
      </c>
    </row>
    <row r="41" spans="1:12" ht="231.75" thickBot="1" x14ac:dyDescent="0.3">
      <c r="A41" s="14" t="s">
        <v>102</v>
      </c>
      <c r="B41">
        <v>2224166</v>
      </c>
      <c r="C41" s="28">
        <v>2231990</v>
      </c>
      <c r="H41" s="27" t="s">
        <v>66</v>
      </c>
      <c r="I41" s="27">
        <v>20489597</v>
      </c>
      <c r="J41" s="27">
        <v>18650000</v>
      </c>
      <c r="K41" s="27">
        <v>20400000</v>
      </c>
      <c r="L41" s="35" t="s">
        <v>168</v>
      </c>
    </row>
    <row r="42" spans="1:12" ht="132.75" thickBot="1" x14ac:dyDescent="0.3">
      <c r="A42" s="14" t="s">
        <v>103</v>
      </c>
      <c r="B42">
        <v>2267893</v>
      </c>
      <c r="C42" s="28">
        <v>2265310</v>
      </c>
      <c r="H42" s="27" t="s">
        <v>137</v>
      </c>
      <c r="I42" s="27">
        <v>20663817</v>
      </c>
      <c r="J42" s="27">
        <v>18720000</v>
      </c>
      <c r="K42" s="27">
        <v>20250000</v>
      </c>
      <c r="L42" s="27" t="s">
        <v>169</v>
      </c>
    </row>
    <row r="43" spans="1:12" ht="248.25" thickBot="1" x14ac:dyDescent="0.3">
      <c r="A43" s="14" t="s">
        <v>104</v>
      </c>
      <c r="B43">
        <v>2291676</v>
      </c>
      <c r="C43" s="28">
        <v>2298630</v>
      </c>
      <c r="H43" s="27" t="s">
        <v>73</v>
      </c>
      <c r="I43" s="27">
        <v>21301949</v>
      </c>
      <c r="J43" s="27">
        <v>18800000</v>
      </c>
      <c r="K43" s="35">
        <v>21000000</v>
      </c>
      <c r="L43" s="35" t="s">
        <v>170</v>
      </c>
    </row>
    <row r="44" spans="1:12" ht="231.75" thickBot="1" x14ac:dyDescent="0.3">
      <c r="A44" s="14" t="s">
        <v>105</v>
      </c>
      <c r="B44">
        <v>2295176</v>
      </c>
      <c r="C44" s="28">
        <v>2331950</v>
      </c>
      <c r="H44" s="27" t="s">
        <v>74</v>
      </c>
      <c r="I44" s="27">
        <v>21399921</v>
      </c>
      <c r="J44" s="27">
        <v>18820000</v>
      </c>
      <c r="K44" s="35">
        <v>21400000</v>
      </c>
      <c r="L44" s="27" t="s">
        <v>171</v>
      </c>
    </row>
    <row r="45" spans="1:12" ht="182.25" thickBot="1" x14ac:dyDescent="0.3">
      <c r="A45" s="14" t="s">
        <v>106</v>
      </c>
      <c r="B45">
        <v>2276316</v>
      </c>
      <c r="C45" s="28">
        <v>2365270</v>
      </c>
      <c r="H45" s="27" t="s">
        <v>75</v>
      </c>
      <c r="I45" s="27">
        <v>24255556</v>
      </c>
      <c r="J45" s="27">
        <v>18850000</v>
      </c>
      <c r="K45" s="35">
        <v>21800000</v>
      </c>
      <c r="L45" s="27" t="s">
        <v>172</v>
      </c>
    </row>
    <row r="46" spans="1:12" ht="83.25" thickBot="1" x14ac:dyDescent="0.3">
      <c r="A46" s="14" t="s">
        <v>107</v>
      </c>
      <c r="B46">
        <v>2270132</v>
      </c>
      <c r="C46" s="28">
        <v>2398590</v>
      </c>
      <c r="H46" s="35">
        <v>2023</v>
      </c>
      <c r="I46" s="27"/>
      <c r="J46" s="27"/>
      <c r="K46" s="27"/>
      <c r="L46" s="35" t="s">
        <v>173</v>
      </c>
    </row>
    <row r="47" spans="1:12" ht="215.25" thickBot="1" x14ac:dyDescent="0.3">
      <c r="A47" s="14" t="s">
        <v>108</v>
      </c>
      <c r="B47">
        <v>2283098</v>
      </c>
      <c r="C47" s="28">
        <v>2431910</v>
      </c>
      <c r="H47" s="27" t="s">
        <v>54</v>
      </c>
      <c r="I47" s="27">
        <v>22333227</v>
      </c>
      <c r="J47" s="27">
        <v>18910000</v>
      </c>
      <c r="K47" s="27">
        <v>22100000</v>
      </c>
      <c r="L47" s="27" t="s">
        <v>174</v>
      </c>
    </row>
    <row r="48" spans="1:12" ht="264.75" thickBot="1" x14ac:dyDescent="0.3">
      <c r="A48" s="14" t="s">
        <v>109</v>
      </c>
      <c r="B48">
        <v>2352389</v>
      </c>
      <c r="C48" s="28">
        <v>2465230</v>
      </c>
      <c r="H48" s="27" t="s">
        <v>57</v>
      </c>
      <c r="I48" s="27">
        <v>25702033</v>
      </c>
      <c r="J48" s="27">
        <v>18980000</v>
      </c>
      <c r="K48" s="27">
        <v>22350000</v>
      </c>
      <c r="L48" s="27" t="s">
        <v>175</v>
      </c>
    </row>
    <row r="49" spans="1:12" ht="99.75" thickBot="1" x14ac:dyDescent="0.3">
      <c r="A49" s="14" t="s">
        <v>110</v>
      </c>
      <c r="B49">
        <v>2362282</v>
      </c>
      <c r="C49" s="28">
        <v>2498550</v>
      </c>
      <c r="H49" s="27" t="s">
        <v>63</v>
      </c>
      <c r="I49" s="27">
        <v>24255556</v>
      </c>
      <c r="J49" s="27">
        <v>19100000</v>
      </c>
      <c r="K49" s="27">
        <v>22600000</v>
      </c>
      <c r="L49" s="27" t="s">
        <v>176</v>
      </c>
    </row>
    <row r="50" spans="1:12" ht="83.25" thickBot="1" x14ac:dyDescent="0.3">
      <c r="A50" s="14" t="s">
        <v>111</v>
      </c>
      <c r="B50">
        <v>2363531</v>
      </c>
      <c r="C50" s="28">
        <v>2531870</v>
      </c>
      <c r="H50" s="35">
        <v>2024</v>
      </c>
      <c r="I50" s="27"/>
      <c r="J50" s="27"/>
      <c r="K50" s="27"/>
      <c r="L50" s="35" t="s">
        <v>177</v>
      </c>
    </row>
    <row r="51" spans="1:12" ht="248.25" thickBot="1" x14ac:dyDescent="0.3">
      <c r="A51" s="14" t="s">
        <v>88</v>
      </c>
      <c r="B51">
        <v>2403174</v>
      </c>
      <c r="C51" s="30">
        <v>2565190</v>
      </c>
      <c r="H51" s="27" t="s">
        <v>45</v>
      </c>
      <c r="I51" s="27">
        <v>25701839</v>
      </c>
      <c r="J51" s="27">
        <v>19250000</v>
      </c>
      <c r="K51" s="27">
        <v>22900000</v>
      </c>
      <c r="L51" s="27" t="s">
        <v>178</v>
      </c>
    </row>
    <row r="52" spans="1:12" ht="33.75" thickBot="1" x14ac:dyDescent="0.3">
      <c r="A52" s="14" t="s">
        <v>89</v>
      </c>
      <c r="B52">
        <v>2441051</v>
      </c>
      <c r="C52" s="30">
        <v>2598510</v>
      </c>
      <c r="H52" s="27" t="s">
        <v>51</v>
      </c>
      <c r="I52" s="27">
        <v>26512774</v>
      </c>
      <c r="J52" s="27">
        <v>19400000</v>
      </c>
      <c r="K52" s="27">
        <v>23200000</v>
      </c>
      <c r="L52" s="33"/>
    </row>
    <row r="53" spans="1:12" ht="17.25" thickBot="1" x14ac:dyDescent="0.3">
      <c r="A53" s="14" t="s">
        <v>90</v>
      </c>
      <c r="B53">
        <v>2536871</v>
      </c>
      <c r="C53" s="30">
        <v>2631830</v>
      </c>
    </row>
    <row r="54" spans="1:12" ht="17.25" thickBot="1" x14ac:dyDescent="0.3">
      <c r="A54" s="14" t="s">
        <v>91</v>
      </c>
      <c r="B54">
        <v>2621231</v>
      </c>
      <c r="C54" s="30">
        <v>2665150</v>
      </c>
    </row>
    <row r="55" spans="1:12" ht="17.25" thickBot="1" x14ac:dyDescent="0.3">
      <c r="A55" s="14" t="s">
        <v>92</v>
      </c>
      <c r="B55">
        <v>2709410</v>
      </c>
      <c r="C55" s="30">
        <v>2698470</v>
      </c>
    </row>
    <row r="56" spans="1:12" ht="17.25" thickBot="1" x14ac:dyDescent="0.3">
      <c r="A56" s="14" t="s">
        <v>93</v>
      </c>
      <c r="B56">
        <v>2754058</v>
      </c>
      <c r="C56" s="30">
        <v>2731790</v>
      </c>
    </row>
    <row r="57" spans="1:12" ht="17.25" thickBot="1" x14ac:dyDescent="0.3">
      <c r="A57" s="14" t="s">
        <v>94</v>
      </c>
      <c r="B57">
        <v>2768827</v>
      </c>
      <c r="C57" s="30">
        <v>2765110</v>
      </c>
    </row>
    <row r="58" spans="1:12" ht="17.25" thickBot="1" x14ac:dyDescent="0.3">
      <c r="A58" s="14" t="s">
        <v>95</v>
      </c>
      <c r="B58">
        <v>2777983</v>
      </c>
      <c r="C58" s="30">
        <v>2798430</v>
      </c>
    </row>
    <row r="59" spans="1:12" ht="17.25" thickBot="1" x14ac:dyDescent="0.3">
      <c r="A59" s="14" t="s">
        <v>96</v>
      </c>
      <c r="B59">
        <v>2780642</v>
      </c>
      <c r="C59" s="30">
        <v>2831750</v>
      </c>
    </row>
    <row r="60" spans="1:12" ht="17.25" thickBot="1" x14ac:dyDescent="0.3">
      <c r="A60" s="14" t="s">
        <v>97</v>
      </c>
      <c r="B60">
        <v>2809512</v>
      </c>
      <c r="C60" s="30">
        <v>2865070</v>
      </c>
    </row>
    <row r="61" spans="1:12" ht="17.25" thickBot="1" x14ac:dyDescent="0.3">
      <c r="A61" s="14" t="s">
        <v>98</v>
      </c>
      <c r="B61">
        <v>2867451</v>
      </c>
      <c r="C61" s="30">
        <v>2898390</v>
      </c>
    </row>
    <row r="62" spans="1:12" ht="17.25" thickBot="1" x14ac:dyDescent="0.3">
      <c r="A62" s="14" t="s">
        <v>99</v>
      </c>
      <c r="B62">
        <v>2871442</v>
      </c>
      <c r="C62" s="30">
        <v>2931710</v>
      </c>
    </row>
    <row r="63" spans="1:12" ht="17.25" thickBot="1" x14ac:dyDescent="0.3">
      <c r="A63" s="14" t="s">
        <v>76</v>
      </c>
      <c r="B63">
        <v>2906371</v>
      </c>
      <c r="C63" s="30">
        <v>2965030</v>
      </c>
    </row>
    <row r="64" spans="1:12" ht="17.25" thickBot="1" x14ac:dyDescent="0.3">
      <c r="A64" s="14" t="s">
        <v>77</v>
      </c>
      <c r="B64">
        <v>2938269</v>
      </c>
      <c r="C64" s="30">
        <v>2998350</v>
      </c>
    </row>
    <row r="65" spans="1:3" ht="17.25" thickBot="1" x14ac:dyDescent="0.3">
      <c r="A65" s="14" t="s">
        <v>78</v>
      </c>
      <c r="B65">
        <v>2960575</v>
      </c>
      <c r="C65" s="30">
        <v>3031670</v>
      </c>
    </row>
    <row r="66" spans="1:3" ht="17.25" thickBot="1" x14ac:dyDescent="0.3">
      <c r="A66" s="14" t="s">
        <v>79</v>
      </c>
      <c r="B66">
        <v>3011515</v>
      </c>
      <c r="C66" s="30">
        <v>3064990</v>
      </c>
    </row>
    <row r="67" spans="1:3" ht="17.25" thickBot="1" x14ac:dyDescent="0.3">
      <c r="A67" s="14" t="s">
        <v>80</v>
      </c>
      <c r="B67">
        <v>3067115</v>
      </c>
      <c r="C67" s="30">
        <v>3098310</v>
      </c>
    </row>
    <row r="68" spans="1:3" ht="17.25" thickBot="1" x14ac:dyDescent="0.3">
      <c r="A68" s="14" t="s">
        <v>81</v>
      </c>
      <c r="B68">
        <v>3089778</v>
      </c>
      <c r="C68" s="30">
        <v>3131630</v>
      </c>
    </row>
    <row r="69" spans="1:3" ht="17.25" thickBot="1" x14ac:dyDescent="0.3">
      <c r="A69" s="14" t="s">
        <v>82</v>
      </c>
      <c r="B69">
        <v>3054164</v>
      </c>
      <c r="C69" s="30">
        <v>3164950</v>
      </c>
    </row>
    <row r="70" spans="1:3" ht="17.25" thickBot="1" x14ac:dyDescent="0.3">
      <c r="A70" s="14" t="s">
        <v>83</v>
      </c>
      <c r="B70">
        <v>3057068</v>
      </c>
      <c r="C70" s="30">
        <v>3198270</v>
      </c>
    </row>
    <row r="71" spans="1:3" ht="17.25" thickBot="1" x14ac:dyDescent="0.3">
      <c r="A71" s="14" t="s">
        <v>84</v>
      </c>
      <c r="B71">
        <v>3035198</v>
      </c>
      <c r="C71" s="30">
        <v>3231590</v>
      </c>
    </row>
    <row r="72" spans="1:3" ht="17.25" thickBot="1" x14ac:dyDescent="0.3">
      <c r="A72" s="14" t="s">
        <v>85</v>
      </c>
      <c r="B72">
        <v>3064287</v>
      </c>
      <c r="C72" s="30">
        <v>3264910</v>
      </c>
    </row>
    <row r="73" spans="1:3" ht="17.25" thickBot="1" x14ac:dyDescent="0.3">
      <c r="A73" s="14" t="s">
        <v>86</v>
      </c>
      <c r="B73">
        <v>3098696</v>
      </c>
      <c r="C73" s="30">
        <v>3298230</v>
      </c>
    </row>
    <row r="74" spans="1:3" ht="17.25" thickBot="1" x14ac:dyDescent="0.3">
      <c r="A74" s="14" t="s">
        <v>87</v>
      </c>
      <c r="B74">
        <v>3092687</v>
      </c>
      <c r="C74" s="30">
        <v>3331550</v>
      </c>
    </row>
    <row r="75" spans="1:3" ht="17.25" thickBot="1" x14ac:dyDescent="0.3">
      <c r="A75" s="14" t="s">
        <v>64</v>
      </c>
      <c r="B75">
        <v>3132815</v>
      </c>
      <c r="C75" s="30">
        <v>3364870</v>
      </c>
    </row>
    <row r="76" spans="1:3" ht="17.25" thickBot="1" x14ac:dyDescent="0.3">
      <c r="A76" s="14" t="s">
        <v>65</v>
      </c>
      <c r="B76">
        <v>3180439</v>
      </c>
      <c r="C76" s="30">
        <v>3398190</v>
      </c>
    </row>
    <row r="77" spans="1:3" ht="17.25" thickBot="1" x14ac:dyDescent="0.3">
      <c r="A77" s="14" t="s">
        <v>66</v>
      </c>
      <c r="B77">
        <v>3233678</v>
      </c>
      <c r="C77" s="30">
        <v>3431510</v>
      </c>
    </row>
    <row r="78" spans="1:3" ht="17.25" thickBot="1" x14ac:dyDescent="0.3">
      <c r="A78" s="14" t="s">
        <v>67</v>
      </c>
      <c r="B78">
        <v>3325630</v>
      </c>
      <c r="C78" s="30">
        <v>3464830</v>
      </c>
    </row>
    <row r="79" spans="1:3" ht="17.25" thickBot="1" x14ac:dyDescent="0.3">
      <c r="A79" s="14" t="s">
        <v>68</v>
      </c>
      <c r="B79">
        <v>3334039</v>
      </c>
      <c r="C79" s="30">
        <v>3498150</v>
      </c>
    </row>
    <row r="80" spans="1:3" ht="17.25" thickBot="1" x14ac:dyDescent="0.3">
      <c r="A80" s="14" t="s">
        <v>137</v>
      </c>
      <c r="B80">
        <v>3349425</v>
      </c>
      <c r="C80" s="30">
        <v>3531470</v>
      </c>
    </row>
    <row r="81" spans="1:3" ht="17.25" thickBot="1" x14ac:dyDescent="0.3">
      <c r="A81" s="14" t="s">
        <v>70</v>
      </c>
      <c r="B81">
        <v>3305684</v>
      </c>
      <c r="C81" s="30">
        <v>3564790</v>
      </c>
    </row>
    <row r="82" spans="1:3" ht="17.25" thickBot="1" x14ac:dyDescent="0.3">
      <c r="A82" s="14" t="s">
        <v>71</v>
      </c>
      <c r="B82">
        <v>3303959</v>
      </c>
      <c r="C82" s="30">
        <v>3598110</v>
      </c>
    </row>
    <row r="83" spans="1:3" ht="17.25" thickBot="1" x14ac:dyDescent="0.3">
      <c r="A83" s="14" t="s">
        <v>72</v>
      </c>
      <c r="B83">
        <v>3289553</v>
      </c>
      <c r="C83" s="30">
        <v>3631430</v>
      </c>
    </row>
    <row r="84" spans="1:3" ht="17.25" thickBot="1" x14ac:dyDescent="0.3">
      <c r="A84" s="14" t="s">
        <v>73</v>
      </c>
      <c r="B84">
        <v>3347875</v>
      </c>
      <c r="C84" s="30">
        <v>3664750</v>
      </c>
    </row>
    <row r="85" spans="1:3" ht="17.25" thickBot="1" x14ac:dyDescent="0.3">
      <c r="A85" s="14" t="s">
        <v>74</v>
      </c>
      <c r="B85">
        <v>3343085</v>
      </c>
      <c r="C85" s="30">
        <v>3698070</v>
      </c>
    </row>
    <row r="86" spans="1:3" ht="17.25" thickBot="1" x14ac:dyDescent="0.3">
      <c r="A86" s="14" t="s">
        <v>75</v>
      </c>
      <c r="B86">
        <v>3469543</v>
      </c>
      <c r="C86" s="30">
        <v>3731390</v>
      </c>
    </row>
    <row r="87" spans="1:3" ht="17.25" thickBot="1" x14ac:dyDescent="0.3">
      <c r="A87" s="14" t="s">
        <v>52</v>
      </c>
      <c r="B87">
        <v>3413716</v>
      </c>
      <c r="C87" s="30">
        <v>3764710</v>
      </c>
    </row>
    <row r="88" spans="1:3" ht="17.25" thickBot="1" x14ac:dyDescent="0.3">
      <c r="A88" s="14" t="s">
        <v>53</v>
      </c>
      <c r="B88">
        <v>3440357</v>
      </c>
      <c r="C88" s="30">
        <v>3798030</v>
      </c>
    </row>
    <row r="89" spans="1:3" ht="17.25" thickBot="1" x14ac:dyDescent="0.3">
      <c r="A89" s="14" t="s">
        <v>54</v>
      </c>
      <c r="B89">
        <v>3482457</v>
      </c>
      <c r="C89" s="30">
        <v>3831350</v>
      </c>
    </row>
    <row r="90" spans="1:3" ht="17.25" thickBot="1" x14ac:dyDescent="0.3">
      <c r="A90" s="14" t="s">
        <v>55</v>
      </c>
      <c r="B90">
        <v>3564258</v>
      </c>
      <c r="C90" s="30">
        <v>3864670</v>
      </c>
    </row>
    <row r="91" spans="1:3" ht="17.25" thickBot="1" x14ac:dyDescent="0.3">
      <c r="A91" s="14" t="s">
        <v>56</v>
      </c>
      <c r="B91">
        <v>3585494</v>
      </c>
      <c r="C91" s="30">
        <v>3897990</v>
      </c>
    </row>
    <row r="92" spans="1:3" ht="17.25" thickBot="1" x14ac:dyDescent="0.3">
      <c r="A92" s="14" t="s">
        <v>57</v>
      </c>
      <c r="B92">
        <v>3679346</v>
      </c>
      <c r="C92" s="30">
        <v>3931310</v>
      </c>
    </row>
    <row r="93" spans="1:3" ht="17.25" thickBot="1" x14ac:dyDescent="0.3">
      <c r="A93" s="14" t="s">
        <v>58</v>
      </c>
      <c r="B93">
        <v>3647786</v>
      </c>
      <c r="C93" s="30">
        <v>3964630</v>
      </c>
    </row>
    <row r="94" spans="1:3" ht="17.25" thickBot="1" x14ac:dyDescent="0.3">
      <c r="A94" s="14" t="s">
        <v>59</v>
      </c>
      <c r="B94">
        <v>3414743</v>
      </c>
      <c r="C94" s="30">
        <v>3997950</v>
      </c>
    </row>
    <row r="95" spans="1:3" ht="17.25" thickBot="1" x14ac:dyDescent="0.3">
      <c r="A95" s="14" t="s">
        <v>60</v>
      </c>
      <c r="B95">
        <v>3407693</v>
      </c>
      <c r="C95" s="30">
        <v>4031270</v>
      </c>
    </row>
    <row r="96" spans="1:3" ht="17.25" thickBot="1" x14ac:dyDescent="0.3">
      <c r="A96" s="14" t="s">
        <v>61</v>
      </c>
      <c r="B96">
        <v>3406370</v>
      </c>
      <c r="C96" s="30">
        <v>4064590</v>
      </c>
    </row>
    <row r="97" spans="1:3" ht="17.25" thickBot="1" x14ac:dyDescent="0.3">
      <c r="A97" s="14" t="s">
        <v>62</v>
      </c>
      <c r="B97">
        <v>3456713</v>
      </c>
      <c r="C97" s="30">
        <v>4097910</v>
      </c>
    </row>
    <row r="98" spans="1:3" ht="17.25" thickBot="1" x14ac:dyDescent="0.3">
      <c r="A98" s="14" t="s">
        <v>63</v>
      </c>
      <c r="B98">
        <v>3469543</v>
      </c>
      <c r="C98" s="30">
        <v>4131230</v>
      </c>
    </row>
    <row r="99" spans="1:3" ht="17.25" thickBot="1" x14ac:dyDescent="0.3">
      <c r="A99" s="14" t="s">
        <v>40</v>
      </c>
      <c r="B99">
        <v>3515008</v>
      </c>
      <c r="C99" s="30">
        <v>4164550</v>
      </c>
    </row>
    <row r="100" spans="1:3" ht="17.25" thickBot="1" x14ac:dyDescent="0.3">
      <c r="A100" s="14" t="s">
        <v>41</v>
      </c>
      <c r="B100">
        <v>3551092</v>
      </c>
      <c r="C100" s="30">
        <v>4197870</v>
      </c>
    </row>
    <row r="101" spans="1:3" ht="17.25" thickBot="1" x14ac:dyDescent="0.3">
      <c r="A101" s="14" t="s">
        <v>42</v>
      </c>
      <c r="B101">
        <v>3621033</v>
      </c>
      <c r="C101" s="30">
        <v>4231190</v>
      </c>
    </row>
    <row r="102" spans="1:3" ht="17.25" thickBot="1" x14ac:dyDescent="0.3">
      <c r="A102" s="14" t="s">
        <v>43</v>
      </c>
      <c r="B102">
        <v>3678631</v>
      </c>
      <c r="C102" s="30">
        <v>4264510</v>
      </c>
    </row>
    <row r="103" spans="1:3" ht="17.25" thickBot="1" x14ac:dyDescent="0.3">
      <c r="A103" s="14" t="s">
        <v>44</v>
      </c>
      <c r="B103">
        <v>3673944</v>
      </c>
      <c r="C103" s="30">
        <v>4297830</v>
      </c>
    </row>
    <row r="104" spans="1:3" ht="17.25" thickBot="1" x14ac:dyDescent="0.3">
      <c r="A104" s="14" t="s">
        <v>45</v>
      </c>
      <c r="B104">
        <v>3679539</v>
      </c>
      <c r="C104" s="30">
        <v>4331150</v>
      </c>
    </row>
    <row r="105" spans="1:3" ht="17.25" thickBot="1" x14ac:dyDescent="0.3">
      <c r="A105" s="14" t="s">
        <v>46</v>
      </c>
      <c r="B105">
        <v>3647786</v>
      </c>
      <c r="C105" s="30">
        <v>4364470</v>
      </c>
    </row>
    <row r="106" spans="1:3" ht="17.25" thickBot="1" x14ac:dyDescent="0.3">
      <c r="A106" s="14" t="s">
        <v>47</v>
      </c>
      <c r="B106">
        <v>3620367</v>
      </c>
      <c r="C106" s="30">
        <v>4397790</v>
      </c>
    </row>
    <row r="107" spans="1:3" ht="17.25" thickBot="1" x14ac:dyDescent="0.3">
      <c r="A107" s="14" t="s">
        <v>48</v>
      </c>
      <c r="B107">
        <v>3588063</v>
      </c>
      <c r="C107" s="30">
        <v>4431110</v>
      </c>
    </row>
    <row r="108" spans="1:3" ht="17.25" thickBot="1" x14ac:dyDescent="0.3">
      <c r="A108" s="14" t="s">
        <v>49</v>
      </c>
      <c r="B108">
        <v>3620794</v>
      </c>
      <c r="C108" s="30">
        <v>4464430</v>
      </c>
    </row>
    <row r="109" spans="1:3" ht="17.25" thickBot="1" x14ac:dyDescent="0.3">
      <c r="A109" s="14" t="s">
        <v>50</v>
      </c>
      <c r="B109">
        <v>3648880</v>
      </c>
      <c r="C109" s="30">
        <v>4497750</v>
      </c>
    </row>
    <row r="110" spans="1:3" ht="17.25" thickBot="1" x14ac:dyDescent="0.3">
      <c r="A110" s="14" t="s">
        <v>51</v>
      </c>
      <c r="B110">
        <v>3661516</v>
      </c>
      <c r="C110" s="30">
        <v>4531070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8BF0-C187-4943-AF57-1E2F7BF51DC1}">
  <dimension ref="A2:G8"/>
  <sheetViews>
    <sheetView topLeftCell="A2" workbookViewId="0">
      <selection sqref="A1:XFD1"/>
    </sheetView>
  </sheetViews>
  <sheetFormatPr defaultRowHeight="15" x14ac:dyDescent="0.25"/>
  <cols>
    <col min="2" max="2" width="20.28515625" customWidth="1"/>
    <col min="3" max="3" width="19.85546875" customWidth="1"/>
  </cols>
  <sheetData>
    <row r="2" spans="1:7" ht="43.5" thickBot="1" x14ac:dyDescent="0.3">
      <c r="A2" s="36">
        <v>2023</v>
      </c>
      <c r="B2" s="37" t="s">
        <v>179</v>
      </c>
      <c r="C2" s="37" t="s">
        <v>180</v>
      </c>
      <c r="D2" s="38">
        <v>8.1500000000000003E-2</v>
      </c>
      <c r="E2" s="37" t="s">
        <v>181</v>
      </c>
      <c r="F2" s="39">
        <v>8.8999999999999999E-3</v>
      </c>
      <c r="G2" s="40">
        <v>1438069596</v>
      </c>
    </row>
    <row r="3" spans="1:7" ht="43.5" thickBot="1" x14ac:dyDescent="0.3">
      <c r="A3" s="36">
        <v>2022</v>
      </c>
      <c r="B3" s="37" t="s">
        <v>182</v>
      </c>
      <c r="C3" s="37" t="s">
        <v>183</v>
      </c>
      <c r="D3" s="38">
        <v>6.9900000000000004E-2</v>
      </c>
      <c r="E3" s="37" t="s">
        <v>184</v>
      </c>
      <c r="F3" s="39">
        <v>7.9000000000000008E-3</v>
      </c>
      <c r="G3" s="40">
        <v>1425423212</v>
      </c>
    </row>
    <row r="4" spans="1:7" ht="43.5" thickBot="1" x14ac:dyDescent="0.3">
      <c r="A4" s="36">
        <v>2021</v>
      </c>
      <c r="B4" s="37" t="s">
        <v>185</v>
      </c>
      <c r="C4" s="37" t="s">
        <v>186</v>
      </c>
      <c r="D4" s="38">
        <v>9.69E-2</v>
      </c>
      <c r="E4" s="37" t="s">
        <v>187</v>
      </c>
      <c r="F4" s="39">
        <v>8.3000000000000001E-3</v>
      </c>
      <c r="G4" s="40">
        <v>1414203896</v>
      </c>
    </row>
    <row r="5" spans="1:7" ht="43.5" thickBot="1" x14ac:dyDescent="0.3">
      <c r="A5" s="36">
        <v>2020</v>
      </c>
      <c r="B5" s="37" t="s">
        <v>188</v>
      </c>
      <c r="C5" s="37" t="s">
        <v>189</v>
      </c>
      <c r="D5" s="41" t="s">
        <v>190</v>
      </c>
      <c r="E5" s="37" t="s">
        <v>191</v>
      </c>
      <c r="F5" s="39">
        <v>9.7999999999999997E-3</v>
      </c>
      <c r="G5" s="40">
        <v>1402617695</v>
      </c>
    </row>
    <row r="6" spans="1:7" ht="43.5" thickBot="1" x14ac:dyDescent="0.3">
      <c r="A6" s="36">
        <v>2019</v>
      </c>
      <c r="B6" s="37" t="s">
        <v>192</v>
      </c>
      <c r="C6" s="37" t="s">
        <v>193</v>
      </c>
      <c r="D6" s="38">
        <v>3.8699999999999998E-2</v>
      </c>
      <c r="E6" s="37" t="s">
        <v>194</v>
      </c>
      <c r="F6" s="39">
        <v>1.0500000000000001E-2</v>
      </c>
      <c r="G6" s="40">
        <v>1389030312</v>
      </c>
    </row>
    <row r="7" spans="1:7" ht="43.5" thickBot="1" x14ac:dyDescent="0.3">
      <c r="A7" s="36">
        <v>2018</v>
      </c>
      <c r="B7" s="37" t="s">
        <v>195</v>
      </c>
      <c r="C7" s="37" t="s">
        <v>196</v>
      </c>
      <c r="D7" s="38">
        <v>6.4500000000000002E-2</v>
      </c>
      <c r="E7" s="37" t="s">
        <v>197</v>
      </c>
      <c r="F7" s="39">
        <v>1.0999999999999999E-2</v>
      </c>
      <c r="G7" s="40">
        <v>1374659064</v>
      </c>
    </row>
    <row r="8" spans="1:7" ht="43.5" thickBot="1" x14ac:dyDescent="0.3">
      <c r="A8" s="36">
        <v>2017</v>
      </c>
      <c r="B8" s="37" t="s">
        <v>198</v>
      </c>
      <c r="C8" s="37" t="s">
        <v>199</v>
      </c>
      <c r="D8" s="38">
        <v>6.8000000000000005E-2</v>
      </c>
      <c r="E8" s="37" t="s">
        <v>200</v>
      </c>
      <c r="F8" s="39">
        <v>1.17E-2</v>
      </c>
      <c r="G8" s="40">
        <v>1359657400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 wise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forecast1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Neelotpal Bid</dc:creator>
  <cp:lastModifiedBy>Neelotpal Bid</cp:lastModifiedBy>
  <dcterms:created xsi:type="dcterms:W3CDTF">2025-08-15T16:14:42Z</dcterms:created>
  <dcterms:modified xsi:type="dcterms:W3CDTF">2025-09-03T06:48:00Z</dcterms:modified>
</cp:coreProperties>
</file>